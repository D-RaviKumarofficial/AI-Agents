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 Case Catalog" sheetId="1" state="visible" r:id="rId3"/>
    <sheet name="Top 10 Picks" sheetId="2" state="visible" r:id="rId4"/>
    <sheet name="Domain Summary" sheetId="3" state="visible" r:id="rId5"/>
  </sheets>
  <definedNames>
    <definedName function="false" hidden="true" localSheetId="0" name="_xlnm._FilterDatabase" vbProcedure="false">'Use Case Catalog'!$B$4:$N$304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<sst xmlns="http://schemas.openxmlformats.org/spreadsheetml/2006/main" count="3722" uniqueCount="1571">
  <si>
    <t xml:space="preserve">Dubai Police 2040 — Agentic AI Use Case Catalog (300 Use Cases)</t>
  </si>
  <si>
    <t xml:space="preserve">ID</t>
  </si>
  <si>
    <t xml:space="preserve">Mission Domain</t>
  </si>
  <si>
    <t xml:space="preserve">Use Case</t>
  </si>
  <si>
    <t xml:space="preserve">What the Agent Does</t>
  </si>
  <si>
    <t xml:space="preserve">How the Agent Works (Step-by-Step)</t>
  </si>
  <si>
    <t xml:space="preserve">Agent Pattern</t>
  </si>
  <si>
    <t xml:space="preserve">Audience</t>
  </si>
  <si>
    <t xml:space="preserve">Impact</t>
  </si>
  <si>
    <t xml:space="preserve">Prototype Feasibility</t>
  </si>
  <si>
    <t xml:space="preserve">Existence Status</t>
  </si>
  <si>
    <t xml:space="preserve">What Already Exists in Dubai Today</t>
  </si>
  <si>
    <t xml:space="preserve">Championship Category</t>
  </si>
  <si>
    <t xml:space="preserve">Rating (/10)</t>
  </si>
  <si>
    <t xml:space="preserve">D01-01</t>
  </si>
  <si>
    <t xml:space="preserve">Emergency Communications &amp; Dispatch (999/901)</t>
  </si>
  <si>
    <t xml:space="preserve">Multilingual 999 triage agent</t>
  </si>
  <si>
    <t xml:space="preserve">Detects caller language, classifies urgency, pre-briefs dispatcher before human pick-up</t>
  </si>
  <si>
    <t xml:space="preserve">1) Trigger: 999 call lands; agent listens on the line from second zero
2) Perceive: detects language and emotion, classifies urgency against protocols
3) Act: builds an incident card (location, type, risk) for the dispatcher
4) Outcome: human answers already briefed - seconds saved on every call</t>
  </si>
  <si>
    <t xml:space="preserve">Triager</t>
  </si>
  <si>
    <t xml:space="preserve">External</t>
  </si>
  <si>
    <t xml:space="preserve">High</t>
  </si>
  <si>
    <t xml:space="preserve">Medium</t>
  </si>
  <si>
    <t xml:space="preserve">Partial</t>
  </si>
  <si>
    <t xml:space="preserve">999 is human-operated with CAD in place; no AI language-detection or pre-brief triage layer runs in production.</t>
  </si>
  <si>
    <t xml:space="preserve">Societal</t>
  </si>
  <si>
    <t xml:space="preserve">D01-02</t>
  </si>
  <si>
    <t xml:space="preserve">Silent SOS chat agent</t>
  </si>
  <si>
    <t xml:space="preserve">Chat-based emergency reporting for hostage or domestic-violence situations where voice is unsafe</t>
  </si>
  <si>
    <t xml:space="preserve">1) Trigger: user taps Silent SOS in app or chat when speaking is unsafe
2) Perceive: pulls GPS, contact context and risk keywords; scores threat level
3) Act: streams chat to a 999 room, alerts nearest units without device sound
4) Outcome: officer joins as silent chat partner; agent relays live updates</t>
  </si>
  <si>
    <t xml:space="preserve">Easy</t>
  </si>
  <si>
    <t xml:space="preserve">White Space</t>
  </si>
  <si>
    <t xml:space="preserve">Nearest today: eCrime portal and app chat - form-based only; no live, risk-adaptive silent-SOS agent.</t>
  </si>
  <si>
    <t xml:space="preserve">D01-03</t>
  </si>
  <si>
    <t xml:space="preserve">Sign-language &amp; text-999 agent</t>
  </si>
  <si>
    <t xml:space="preserve">Emergency access for deaf and hard-of-hearing residents with live relay support</t>
  </si>
  <si>
    <t xml:space="preserve">1) Trigger: deaf/hard-of-hearing user opens text-999 channel
2) Perceive: agent reads typed or relayed sign-to-text input, classifies emergency
3) Act: creates CAD incident, keeps two-way transcript flowing with dispatcher
4) Outcome: full emergency service without voice; transcript archived as record</t>
  </si>
  <si>
    <t xml:space="preserve">No text-999 or sign-language emergency channel; accessibility limited to SPS video relay and Braille cards.</t>
  </si>
  <si>
    <t xml:space="preserve">D01-04</t>
  </si>
  <si>
    <t xml:space="preserve">Caller-location &amp; nearest-unit agent</t>
  </si>
  <si>
    <t xml:space="preserve">Fuses GPS, camera zones and unit positions to recommend the fastest responder</t>
  </si>
  <si>
    <t xml:space="preserve">1) Trigger: emergency call or sensor alert enters the dispatch queue
2) Perceive: fuses caller GPS, camera zones, traffic and unit positions
3) Act: ranks units by true arrival time, proposes dispatch set with ETAs
4) Outcome: dispatcher accepts with one tap; unit screens show the same picture</t>
  </si>
  <si>
    <t xml:space="preserve">Analyzer</t>
  </si>
  <si>
    <t xml:space="preserve">Internal</t>
  </si>
  <si>
    <t xml:space="preserve">CAD and Oyoon hold unit and camera positions; fusing them into a fastest-responder recommendation is operator work.</t>
  </si>
  <si>
    <t xml:space="preserve">Business</t>
  </si>
  <si>
    <t xml:space="preserve">D01-05</t>
  </si>
  <si>
    <t xml:space="preserve">Call-surge orchestrator</t>
  </si>
  <si>
    <t xml:space="preserve">Spawns triage sub-agents when call volume spikes during major city incidents</t>
  </si>
  <si>
    <t xml:space="preserve">1) Trigger: call volume crosses surge threshold (major incident detected)
2) Perceive: agent groups calls by incident and priority in real time
3) Act: spawns triage sub-agents per cluster, routes overflow to them
4) Outcome: no caller abandoned; humans stay on highest-value conversations</t>
  </si>
  <si>
    <t xml:space="preserve">Multi-agent Swarm</t>
  </si>
  <si>
    <t xml:space="preserve">Overflow handled by static rosters; no agent that spawns triage sub-agents when call volume spikes.</t>
  </si>
  <si>
    <t xml:space="preserve">D01-06</t>
  </si>
  <si>
    <t xml:space="preserve">Post-incident follow-up agent</t>
  </si>
  <si>
    <t xml:space="preserve">Contacts victims after 48 hours, checks welfare and logs satisfaction</t>
  </si>
  <si>
    <t xml:space="preserve">1) Trigger: 48 hours after a reported incident closes
2) Perceive: agent reviews case status and victim contact preferences
3) Act: sends caring check-in message, offers support referrals, books callbacks
4) Outcome: welfare gaps caught early; satisfaction and trust measured</t>
  </si>
  <si>
    <t xml:space="preserve">Victim follow-up is ad hoc; no systematic 48-hour welfare contact or case-linked satisfaction logging.</t>
  </si>
  <si>
    <t xml:space="preserve">D01-07</t>
  </si>
  <si>
    <t xml:space="preserve">Hoax-call pattern agent</t>
  </si>
  <si>
    <t xml:space="preserve">Scores repeat false callers and routes them to proactive intervention</t>
  </si>
  <si>
    <t xml:space="preserve">1) Trigger: call-taker flags suspected hoax or repeated nuisance caller
2) Perceive: agent matches voiceprint/number history across call records
3) Act: scores hoax probability, drafts guidance note for operators
4) Outcome: repeat offenders routed to intervention, real emergencies stay clear</t>
  </si>
  <si>
    <t xml:space="preserve">Hoax callers are noted in CAD records; no repeat-caller scoring or proactive intervention routing.</t>
  </si>
  <si>
    <t xml:space="preserve">D01-08</t>
  </si>
  <si>
    <t xml:space="preserve">Live call-transcription agent</t>
  </si>
  <si>
    <t xml:space="preserve">Transcribes and tags emergency calls into CAD as searchable evidence</t>
  </si>
  <si>
    <t xml:space="preserve">1) Trigger: live 999/901 call in progress
2) Perceive: agent transcribes audio, detects entities, locations, weapons, injuries
3) Act: tags and pushes structured notes into the CAD record as they occur
4) Outcome: searchable, accurate call record ready for investigators same day</t>
  </si>
  <si>
    <t xml:space="preserve">Calls are recorded for QA; automatic transcription and tagging into searchable CAD evidence is missing.</t>
  </si>
  <si>
    <t xml:space="preserve">D01-09</t>
  </si>
  <si>
    <t xml:space="preserve">Missing-person first-hours agent</t>
  </si>
  <si>
    <t xml:space="preserve">Runs the amber protocol: broadcasts, CCTV tasking, hospital and shelter checks</t>
  </si>
  <si>
    <t xml:space="preserve">1) Trigger: missing-person report accepted by control room
2) Perceive: builds subject profile - photo, last location, habits, contacts
3) Act: runs amber protocol: broadcasts, CCTV tasking, hospital and shelter sweeps
4) Outcome: coordinated first-6-hours search; every lead logged and tracked</t>
  </si>
  <si>
    <t xml:space="preserve">Media appeals and manual CCTV review; the amber protocol is not automated end-to-end.</t>
  </si>
  <si>
    <t xml:space="preserve">D01-10</t>
  </si>
  <si>
    <t xml:space="preserve">Bystander first-aid coach agent</t>
  </si>
  <si>
    <t xml:space="preserve">Guides 999 callers through CPR and bleeding control with live video checks</t>
  </si>
  <si>
    <t xml:space="preserve">1) Trigger: 999 caller is with an unconscious or bleeding person
2) Perceive: agent confirms situation type through quick voice questions
3) Act: delivers step-by-step CPR/bleeding-control instructions, times compressions
4) Outcome: bystander becomes first responder before paramedics arrive</t>
  </si>
  <si>
    <t xml:space="preserve">Copilot</t>
  </si>
  <si>
    <t xml:space="preserve">999 operators give verbal CPR and bleeding-control instructions; no video-checked AI first-aid coach.</t>
  </si>
  <si>
    <t xml:space="preserve">D01-11</t>
  </si>
  <si>
    <t xml:space="preserve">Tourist SOS agent</t>
  </si>
  <si>
    <t xml:space="preserve">WhatsApp-native triage in 10+ languages, links embassy and hotel instantly</t>
  </si>
  <si>
    <t xml:space="preserve">1) Trigger: tourist messages SOS line on WhatsApp
2) Perceive: detects language, location and emergency type automatically
3) Act: triages, connects to tourist police, alerts embassy and hotel if needed
4) Outcome: visitor handled in their own language within one conversation</t>
  </si>
  <si>
    <t xml:space="preserve">Tourist Police units and multilingual staff exist; no WhatsApp-native SOS with instant embassy and hotel linking.</t>
  </si>
  <si>
    <t xml:space="preserve">D01-12</t>
  </si>
  <si>
    <t xml:space="preserve">Air-ambulance request agent</t>
  </si>
  <si>
    <t xml:space="preserve">Criteria-based HEMS dispatch with landing-zone coordination</t>
  </si>
  <si>
    <t xml:space="preserve">1) Trigger: ground unit or call-taker requests air ambulance
2) Perceive: agent checks medical criteria, weather, airspace and LZ options
3) Act: packages request to HEMS with landing-zone plan and hazards
4) Outcome: criteria-based dispatch decision in minutes, fully documented</t>
  </si>
  <si>
    <t xml:space="preserve">Orchestrator</t>
  </si>
  <si>
    <t xml:space="preserve">Hard</t>
  </si>
  <si>
    <t xml:space="preserve">Air ambulance is dispatched through command; criteria-based auto-dispatch and landing-zone coordination are manual.</t>
  </si>
  <si>
    <t xml:space="preserve">D01-13</t>
  </si>
  <si>
    <t xml:space="preserve">Marine distress coordinator</t>
  </si>
  <si>
    <t xml:space="preserve">Fuses coast radar, AIS and patrol boats into one rescue orchestration</t>
  </si>
  <si>
    <t xml:space="preserve">1) Trigger: distress call, EPIRB or capsize alert received
2) Perceive: fuses coast radar, AIS vessel tracks, tide and patrol positions
3) Act: tasking nearest marine units, drafts search pattern, warns traffic
4) Outcome: coordinated rescue box with all units sharing one live plan</t>
  </si>
  <si>
    <t xml:space="preserve">Coast guard radar, AIS and patrol boats exist; rescue orchestration across assets is human-run.</t>
  </si>
  <si>
    <t xml:space="preserve">D01-14</t>
  </si>
  <si>
    <t xml:space="preserve">Evacuation routing agent</t>
  </si>
  <si>
    <t xml:space="preserve">Computes live safe routes during fire or chemical incidents and pushes them to phones</t>
  </si>
  <si>
    <t xml:space="preserve">1) Trigger: fire, flood or chemical incident confirmed
2) Perceive: models plume/spread against live wind, roads and population
3) Act: computes safe routes, pushes evacuation instructions to phones in area
4) Outcome: orderly movement away from danger; commanders see compliance live</t>
  </si>
  <si>
    <t xml:space="preserve">Static evacuation plans on paper; no live computation and per-phone pushing of safe routes.</t>
  </si>
  <si>
    <t xml:space="preserve">D01-15</t>
  </si>
  <si>
    <t xml:space="preserve">Dispatcher copilot</t>
  </si>
  <si>
    <t xml:space="preserve">Suggests unit combinations, ETAs and risk notes for every incident</t>
  </si>
  <si>
    <t xml:space="preserve">1) Trigger: dispatcher opens an incident
2) Perceive: agent reads incident type, unit status, history at that address
3) Act: suggests unit combinations, flags risks (weapons, previous calls)
4) Outcome: dispatcher decides faster with full context; suggestions logged</t>
  </si>
  <si>
    <t xml:space="preserve">CAD recommends units by rule; no AI copilot adding ETAs, risk notes and combination advice.</t>
  </si>
  <si>
    <t xml:space="preserve">D01-16</t>
  </si>
  <si>
    <t xml:space="preserve">Casualty family-notification agent</t>
  </si>
  <si>
    <t xml:space="preserve">Coordinates dignified next-of-kin contact with counselor handoff</t>
  </si>
  <si>
    <t xml:space="preserve">1) Trigger: casualty confirmed; family notification authorized
2) Perceive: agent retrieves next-of-kin contacts and cultural preferences
3) Act: schedules dignified notification, briefs officers, arranges counselor
4) Outcome: compassionate, consistent process with nothing left to chance</t>
  </si>
  <si>
    <t xml:space="preserve">Next-of-kin notification is officer-led; no coordinated counselor-handoff workflow.</t>
  </si>
  <si>
    <t xml:space="preserve">D01-17</t>
  </si>
  <si>
    <t xml:space="preserve">Multi-agency SITREP agent</t>
  </si>
  <si>
    <t xml:space="preserve">Auto-writes situation reports for ambulance, civil defense and DCD</t>
  </si>
  <si>
    <t xml:space="preserve">1) Trigger: major incident reaches escalation level
2) Perceive: agent aggregates CAD, field reports and sensor feeds
3) Act: drafts SITREP for ambulance, civil defense and DCD in their formats
4) Outcome: all agencies briefed from one source of truth every 30 minutes</t>
  </si>
  <si>
    <t xml:space="preserve">Each agency writes its own SIREPs by hand; no auto-generated multi-agency situation reports.</t>
  </si>
  <si>
    <t xml:space="preserve">D01-18</t>
  </si>
  <si>
    <t xml:space="preserve">901-vs-999 educator agent</t>
  </si>
  <si>
    <t xml:space="preserve">Routes non-emergencies and teaches the correct channel, cutting 999 load</t>
  </si>
  <si>
    <t xml:space="preserve">1) Trigger: non-emergency call hits 999
2) Perceive: agent classifies need and correct service channel
3) Act: explains 901/app options, transfers or books callback as preferred
4) Outcome: 999 lines protected for true emergencies; caller still served</t>
  </si>
  <si>
    <t xml:space="preserve">901 exists and is marketed; no agent that live-redirects misrouted callers and teaches the right channel.</t>
  </si>
  <si>
    <t xml:space="preserve">D01-19</t>
  </si>
  <si>
    <t xml:space="preserve">Mental-health co-response agent</t>
  </si>
  <si>
    <t xml:space="preserve">Provides de-escalation scripts, links social care, flags repeat crises</t>
  </si>
  <si>
    <t xml:space="preserve">1) Trigger: call flagged as mental-health crisis
2) Perceive: agent gathers history, detects escalation cues in conversation
3) Act: feeds de-escalation scripts to officers, links social care on the line
4) Outcome: safer resolution, care pathway instead of cell for repeat cases</t>
  </si>
  <si>
    <t xml:space="preserve">No mental-health co-response model with social care; officers handle crises without de-escalation support.</t>
  </si>
  <si>
    <t xml:space="preserve">D01-20</t>
  </si>
  <si>
    <t xml:space="preserve">Call-QA audit agent</t>
  </si>
  <si>
    <t xml:space="preserve">Reviews 5% of calls weekly, scores handling quality, trains rookies</t>
  </si>
  <si>
    <t xml:space="preserve">1) Trigger: weekly QA cycle
2) Perceive: agent reviews 5% sample of calls against handling standards
3) Act: scores each call, drafts coaching notes and training examples
4) Outcome: measurable quality gains; rookies learn from real anonymized calls</t>
  </si>
  <si>
    <t xml:space="preserve">QA samples a small share of calls manually; automated scoring and rookie coaching are absent.</t>
  </si>
  <si>
    <t xml:space="preserve">D02-01</t>
  </si>
  <si>
    <t xml:space="preserve">Patrol, Robots &amp; Drones</t>
  </si>
  <si>
    <t xml:space="preserve">Robot-patrol scheduler</t>
  </si>
  <si>
    <t xml:space="preserve">Assigns robot patrol units to predicted hotspots every shift</t>
  </si>
  <si>
    <t xml:space="preserve">1) Trigger: shift start at each police station
2) Perceive: agent reads crime forecast, event calendar and robot availability
3) Act: assigns robot patrol routes to predicted hotspots with charge windows
4) Outcome: machines cover routine beats; officers freed for judgment work</t>
  </si>
  <si>
    <t xml:space="preserve">REEM and robot units appear at SPS and events; hotspot-scheduled autonomous patrol assignment does not exist.</t>
  </si>
  <si>
    <t xml:space="preserve">D02-02</t>
  </si>
  <si>
    <t xml:space="preserve">Robot escalation handler</t>
  </si>
  <si>
    <t xml:space="preserve">Citizen talks to patrol robot; agent dispatches officer with full context</t>
  </si>
  <si>
    <t xml:space="preserve">1) Trigger: citizen approaches robot patrol with a question or report
2) Perceive: agent understands request, language and emotional state
3) Act: answers service questions; for incidents, dispatches officer with context
4) Outcome: no dead ends on the street - escalation is automatic and informed</t>
  </si>
  <si>
    <t xml:space="preserve">SPS robots answer FAQs and video-call officers; escalation that carries full context to a dispatched officer is missing.</t>
  </si>
  <si>
    <t xml:space="preserve">D02-03</t>
  </si>
  <si>
    <t xml:space="preserve">Drone-first-responder agent</t>
  </si>
  <si>
    <t xml:space="preserve">Auto-launches drone on alarms; arrives with live feed before ground units</t>
  </si>
  <si>
    <t xml:space="preserve">1) Trigger: alarm, gunshot detection or 999 call in drone coverage zone
2) Perceive: agent selects launch pad, computes flight path and ETA
3) Act: auto-launches drone, streams live feed to responding units en route
4) Outcome: eyes on scene before ground units arrive; safer approaches</t>
  </si>
  <si>
    <t xml:space="preserve">Drone fleets are being trialed; no auto-launch-on-alarm responder that beats ground units with a live feed.</t>
  </si>
  <si>
    <t xml:space="preserve">D02-04</t>
  </si>
  <si>
    <t xml:space="preserve">Crowd-density drone agent</t>
  </si>
  <si>
    <t xml:space="preserve">Counts and predicts crush-risk at gatherings, triggers staggered entry</t>
  </si>
  <si>
    <t xml:space="preserve">1) Trigger: drone or camera assigned to an event or crowded area
2) Perceive: agent counts density, tracks flow vectors and stagnation points
3) Act: predicts crush-risk 15 minutes ahead, triggers staggered entry plans
4) Outcome: crowd pressure relieved before it becomes dangerous</t>
  </si>
  <si>
    <t xml:space="preserve">Monitor &amp; Alert</t>
  </si>
  <si>
    <t xml:space="preserve">Oyoon crowd analytics exist; drone-based crush-risk prediction triggering staggered entry is new.</t>
  </si>
  <si>
    <t xml:space="preserve">D02-05</t>
  </si>
  <si>
    <t xml:space="preserve">Patrol anomaly spotter</t>
  </si>
  <si>
    <t xml:space="preserve">Flags abandoned cars, altercations and smoke from moving vehicle feeds</t>
  </si>
  <si>
    <t xml:space="preserve">1) Trigger: patrol vehicle feeds stream to the platform
2) Perceive: agent flags abandoned cars, altercations, smoke, debris
3) Act: geo-tags findings, drafts dispatch cards with clip evidence
4) Outcome: officers notice more, faster - nothing on the route goes unseen</t>
  </si>
  <si>
    <t xml:space="preserve">Oyoon covers fixed cameras; anomaly detection over moving patrol-vehicle feeds is not deployed.</t>
  </si>
  <si>
    <t xml:space="preserve">D02-06</t>
  </si>
  <si>
    <t xml:space="preserve">Predictive patrol router</t>
  </si>
  <si>
    <t xml:space="preserve">Rebalances patrol routes hourly by risk forecast, with bias audits</t>
  </si>
  <si>
    <t xml:space="preserve">1) Trigger: hourly rebalancing cycle
2) Perceive: agent merges risk forecast, incidents in progress and unit status
3) Act: proposes patrol route adjustments with audited, explainable scoring
4) Outcome: presence where risk is rising, not where it already happened</t>
  </si>
  <si>
    <t xml:space="preserve">Oyoon provides predictive analytics; hourly patrol-route rebalancing with published bias audits is absent.</t>
  </si>
  <si>
    <t xml:space="preserve">D02-07</t>
  </si>
  <si>
    <t xml:space="preserve">Bodycam guardian</t>
  </si>
  <si>
    <t xml:space="preserve">Live weapon, fall and downed-officer detection with auto-backup alert</t>
  </si>
  <si>
    <t xml:space="preserve">1) Trigger: officer bodycam streaming in the field
2) Perceive: agent watches for weapons, falls, downed-officer postures
3) Act: sends instant safety alerts to nearby units and control room
4) Outcome: backup launches on detection, not on hope</t>
  </si>
  <si>
    <t xml:space="preserve">Bodycams record only; no live weapon, fall or downed-officer detection with automatic backup alert.</t>
  </si>
  <si>
    <t xml:space="preserve">D02-08</t>
  </si>
  <si>
    <t xml:space="preserve">Beat-cop chat robot</t>
  </si>
  <si>
    <t xml:space="preserve">Robot in patrol car answers public queries and takes reports on the spot</t>
  </si>
  <si>
    <t xml:space="preserve">1) Trigger: citizen speaks to beat-cop robot at events/streets
2) Perceive: agent understands question in any language
3) Act: answers, takes simple reports, prints/QR-codes reference for follow-up
4) Outcome: friendly visible policing that also closes service loops</t>
  </si>
  <si>
    <t xml:space="preserve">Beat officers and the app handle queries; on-street robot report-taking is not deployed.</t>
  </si>
  <si>
    <t xml:space="preserve">D02-09</t>
  </si>
  <si>
    <t xml:space="preserve">Abandoned-vehicle lifecycle agent</t>
  </si>
  <si>
    <t xml:space="preserve">Runs detect, ticket, tow and auction pipeline without paperwork</t>
  </si>
  <si>
    <t xml:space="preserve">1) Trigger: camera/robot spots vehicle abandoned beyond threshold
2) Perceive: agent checks ownership, plates, prior notices, hazard level
3) Act: issues notice, schedules tow, tracks auction workflow end-to-end
4) Outcome: streets cleared without officer paperwork; owners informed fairly</t>
  </si>
  <si>
    <t xml:space="preserve">Reporting and towing exist as separate services; the detect-to-auction pipeline is fragmented and manual.</t>
  </si>
  <si>
    <t xml:space="preserve">D02-10</t>
  </si>
  <si>
    <t xml:space="preserve">Noise-complaint triage agent</t>
  </si>
  <si>
    <t xml:space="preserve">Grades noise reports, books inspections, closes loop with reporter</t>
  </si>
  <si>
    <t xml:space="preserve">1) Trigger: resident files noise complaint
2) Perceive: agent grades severity, checks history and jurisdiction
3) Act: books inspection slot, notifies reporter, tracks to resolution
4) Outcome: complaints measured and closed, not just logged</t>
  </si>
  <si>
    <t xml:space="preserve">Noise complaints arrive via app and 901 and are routed manually; grading and closed-loop updates are missing.</t>
  </si>
  <si>
    <t xml:space="preserve">D02-11</t>
  </si>
  <si>
    <t xml:space="preserve">Beach safety agent</t>
  </si>
  <si>
    <t xml:space="preserve">Detects swimmers outside zones and jet-ski violations; alerts marine units</t>
  </si>
  <si>
    <t xml:space="preserve">1) Trigger: beach camera or sensor flags zone violation
2) Perceive: agent detects swimmers outside flags, jet-ski intrusion, rips
3) Act: alerts marine/lifeguard units with exact position and clip
4) Outcome: seconds-level response where drowning risk is highest</t>
  </si>
  <si>
    <t xml:space="preserve">Lifeguards and flag systems patrol beaches; no AI swimmer-zone or jet-ski violation detection alerting marine units.</t>
  </si>
  <si>
    <t xml:space="preserve">D02-12</t>
  </si>
  <si>
    <t xml:space="preserve">Desert rescue coordinator</t>
  </si>
  <si>
    <t xml:space="preserve">Tracks off-roaders via check-ins and coordinates dune rescues</t>
  </si>
  <si>
    <t xml:space="preserve">1) Trigger: off-roader checks in or goes silent in desert zones
2) Perceive: agent tracks last GPS, heading, weather and group size
3) Act: coordinates dune rescue units, supplies terrain-aware route plans
4) Outcome: faster finds in vast terrain; prevention via check-in culture</t>
  </si>
  <si>
    <t xml:space="preserve">The rescue section responds to calls; off-roader check-in tracking and dune-rescue coordination platforms are absent.</t>
  </si>
  <si>
    <t xml:space="preserve">D02-13</t>
  </si>
  <si>
    <t xml:space="preserve">Vacant-property watch agent</t>
  </si>
  <si>
    <t xml:space="preserve">Learns normal patterns at empty buildings and alerts on breach</t>
  </si>
  <si>
    <t xml:space="preserve">1) Trigger: vacant/under-construction property registered for watch
2) Perceive: agent learns normal sensor and access patterns
3) Act: alerts on breaches, files incident, requests patrol verification
4) Outcome: empty buildings stop becoming crime magnets</t>
  </si>
  <si>
    <t xml:space="preserve">Oyoon watches some sites; learned-pattern breach alerts at empty buildings are not systematic.</t>
  </si>
  <si>
    <t xml:space="preserve">D02-14</t>
  </si>
  <si>
    <t xml:space="preserve">School-zone guardian</t>
  </si>
  <si>
    <t xml:space="preserve">Times enforcement, flags stalled vehicles, sends safety nudges to parents</t>
  </si>
  <si>
    <t xml:space="preserve">1) Trigger: school arrival/dismissal windows
2) Perceive: agent monitors stalls, double-parking and crossing flows
3) Act: times enforcement, alerts traffic wardens, nudges parents with tips
4) Outcome: safer school gates with fewer confrontations</t>
  </si>
  <si>
    <t xml:space="preserve">School-zone camera enforcement exists; timed enforcement plus safety nudges to parents are not agentified.</t>
  </si>
  <si>
    <t xml:space="preserve">D02-15</t>
  </si>
  <si>
    <t xml:space="preserve">Critical-infrastructure sentinel</t>
  </si>
  <si>
    <t xml:space="preserve">Triage perimeter breaches with auto-lockdown and dispatch</t>
  </si>
  <si>
    <t xml:space="preserve">1) Trigger: perimeter sensor breach at critical infrastructure
2) Perceive: agent verifies threat vs nuisance (animal, debris, person)
3) Act: triggers graduated lockdown tier, dispatches nearest armed response
4) Outcome: proportional response in seconds; false alarms absorbed</t>
  </si>
  <si>
    <t xml:space="preserve">Perimeter sensors and guards protect sites; auto-lockdown with dispatch orchestration is missing.</t>
  </si>
  <si>
    <t xml:space="preserve">D02-16</t>
  </si>
  <si>
    <t xml:space="preserve">Graffiti &amp; vandalism linker</t>
  </si>
  <si>
    <t xml:space="preserve">Clusters damage incidents citywide into single case files</t>
  </si>
  <si>
    <t xml:space="preserve">1) Trigger: vandalism/graffiti report or camera detection
2) Perceive: agent extracts tags, style and location signatures
3) Act: clusters citywide incidents into case files with timeline evidence
4) Outcome: scattered nuisance becomes prosecutable pattern</t>
  </si>
  <si>
    <t xml:space="preserve">Damage cases sit in separate files; no citywide clustering into single case files.</t>
  </si>
  <si>
    <t xml:space="preserve">D02-17</t>
  </si>
  <si>
    <t xml:space="preserve">Dark-street security agent</t>
  </si>
  <si>
    <t xml:space="preserve">Correlates crime with lighting outages and files municipality fixes</t>
  </si>
  <si>
    <t xml:space="preserve">1) Trigger: monthly security-environment review
2) Perceive: agent correlates incident maps with lighting outage records
3) Act: files prioritized fix requests to municipality with crime evidence
4) Outcome: dark corners get lit - prevention by design</t>
  </si>
  <si>
    <t xml:space="preserve">No correlation of crime with lighting outages; municipality fixes are complaint-driven.</t>
  </si>
  <si>
    <t xml:space="preserve">D02-18</t>
  </si>
  <si>
    <t xml:space="preserve">Officer-backup orchestrator</t>
  </si>
  <si>
    <t xml:space="preserve">Matches nearest units and pushes live incident brief to their screens</t>
  </si>
  <si>
    <t xml:space="preserve">1) Trigger: officer presses backup or duress button
2) Perceive: agent fuses GPS, threat type and live incident brief
3) Act: ranks nearest suitable units, pushes one-tap accept with full brief
4) Outcome: the right backup arrives informed, not just fast</t>
  </si>
  <si>
    <t xml:space="preserve">Backup is requested by radio via CAD; nearest-match with a live incident brief pushed to screens is not automated.</t>
  </si>
  <si>
    <t xml:space="preserve">D02-19</t>
  </si>
  <si>
    <t xml:space="preserve">Evidence clip-curator</t>
  </si>
  <si>
    <t xml:space="preserve">Auto-clips incidents from feeds with hash-based chain of custody</t>
  </si>
  <si>
    <t xml:space="preserve">1) Trigger: any incident captured on fixed or mobile camera
2) Perceive: agent detects the event, extracts exact clip boundaries
3) Act: hashes clip, logs chain of custody, attaches to case number
4) Outcome: court-ready evidence in minutes instead of days</t>
  </si>
  <si>
    <t xml:space="preserve">Footage is reviewed manually; auto-clipping with hash-based chain of custody is absent.</t>
  </si>
  <si>
    <t xml:space="preserve">D02-20</t>
  </si>
  <si>
    <t xml:space="preserve">Shift-handover briefer</t>
  </si>
  <si>
    <t xml:space="preserve">Writes shift reports: open jobs, risks and repeat addresses</t>
  </si>
  <si>
    <t xml:space="preserve">1) Trigger: shift end
2) Perceive: agent reads open jobs, arrests, hazards, repeat addresses
3) Act: drafts handover brief with priority actions for incoming shift
4) Outcome: nothing falls between shifts; context survives personnel change</t>
  </si>
  <si>
    <t xml:space="preserve">Handovers are verbal or typed; no auto-written shift reports with open jobs, risks and repeat addresses.</t>
  </si>
  <si>
    <t xml:space="preserve">D03-01</t>
  </si>
  <si>
    <t xml:space="preserve">Criminal Investigations &amp; Forensics</t>
  </si>
  <si>
    <t xml:space="preserve">Case-file assembler</t>
  </si>
  <si>
    <t xml:space="preserve">Pulls reports, CCTV logs and forensic results into one living dossier</t>
  </si>
  <si>
    <t xml:space="preserve">1) Trigger: new case opened or major update received
2) Perceive: agent pulls reports, CCTV logs, forensic results, call records
3) Act: assembles living dossier with timeline, gaps and next-evidence checklist
4) Outcome: investigators start from a complete picture, not a folder pile</t>
  </si>
  <si>
    <t xml:space="preserve">Investigators assemble dossiers by hand; no living, auto-compiled case file exists.</t>
  </si>
  <si>
    <t xml:space="preserve">D03-02</t>
  </si>
  <si>
    <t xml:space="preserve">CCTV timeline reconstructor</t>
  </si>
  <si>
    <t xml:space="preserve">Tracks a subject across cameras into a verified, warrant-governed timeline</t>
  </si>
  <si>
    <t xml:space="preserve">1) Trigger: warrant granted for camera tracking
2) Perceive: agent matches subject appearance across authorized camera network
3) Act: reconstructs verified movement timeline with confidence scores
4) Outcome: hours of manual viewing compressed to a reviewable map</t>
  </si>
  <si>
    <t xml:space="preserve">Oyoon footage is reviewed manually; automated, warrant-governed subject tracking across cameras is absent.</t>
  </si>
  <si>
    <t xml:space="preserve">D03-03</t>
  </si>
  <si>
    <t xml:space="preserve">Suspect-link analyst</t>
  </si>
  <si>
    <t xml:space="preserve">Graphs connections across cases, phones, vehicles and addresses</t>
  </si>
  <si>
    <t xml:space="preserve">1) Trigger: investigator queries links on a suspect or case
2) Perceive: agent graphs phones, vehicles, addresses, associates across records
3) Act: surfaces hidden connections and shortest-path relationships
4) Outcome: networks visible on one screen with evidence citations</t>
  </si>
  <si>
    <t xml:space="preserve">Analysts link cases system by system; automated cross-entity graphing is not deployed.</t>
  </si>
  <si>
    <t xml:space="preserve">D03-04</t>
  </si>
  <si>
    <t xml:space="preserve">M.O. similarity engine</t>
  </si>
  <si>
    <t xml:space="preserve">Flags seen-before patterns across thousands of historical cases</t>
  </si>
  <si>
    <t xml:space="preserve">1) Trigger: new crime report filed
2) Perceive: agent encodes M.O. - entry, tools, timing, language, target
3) Act: searches historical cases for similarity, ranks matches with reasons
4) Outcome: serial patterns surface at case two, not case twelve</t>
  </si>
  <si>
    <t xml:space="preserve">No engine flags seen-before M.O. patterns across thousands of historical cases.</t>
  </si>
  <si>
    <t xml:space="preserve">D03-05</t>
  </si>
  <si>
    <t xml:space="preserve">Digital-evidence intake agent</t>
  </si>
  <si>
    <t xml:space="preserve">Hashes, catalogs and prioritizes seized devices automatically</t>
  </si>
  <si>
    <t xml:space="preserve">1) Trigger: seized devices arrive at digital forensics
2) Perceive: agent inventories, hashes and profiles each device
3) Act: prioritizes by case relevance, routes to right examiner queue
4) Outcome: bottleneck broken; chain of custody intact from intake</t>
  </si>
  <si>
    <t xml:space="preserve">A digital forensics lab exists; intake hashing, cataloging and prioritization remain manual.</t>
  </si>
  <si>
    <t xml:space="preserve">D03-06</t>
  </si>
  <si>
    <t xml:space="preserve">Forensic-report summarizer</t>
  </si>
  <si>
    <t xml:space="preserve">Turns lengthy lab reports into one-page investigator briefs</t>
  </si>
  <si>
    <t xml:space="preserve">1) Trigger: lab report published to case
2) Perceive: agent parses technical findings and evidential weight
3) Act: produces one-page brief with what-it-proves and what-it-doesnt
4) Outcome: detectives absorb science in minutes, decisions stay defensible</t>
  </si>
  <si>
    <t xml:space="preserve">Lab reports are read in full; no one-page AI investigator briefs.</t>
  </si>
  <si>
    <t xml:space="preserve">D03-07</t>
  </si>
  <si>
    <t xml:space="preserve">Interview prep copilot</t>
  </si>
  <si>
    <t xml:space="preserve">Builds question trees from case facts for suspect and witness interviews</t>
  </si>
  <si>
    <t xml:space="preserve">1) Trigger: interview scheduled for suspect or key witness
2) Perceive: agent builds fact map from case file, flags contradictions
3) Act: drafts question trees with follow-up branches per answer path
4) Outcome: interviews conducted with full-command recall of the case</t>
  </si>
  <si>
    <t xml:space="preserve">No copilot builds question trees for suspect and witness interviews.</t>
  </si>
  <si>
    <t xml:space="preserve">D03-08</t>
  </si>
  <si>
    <t xml:space="preserve">Statement consistency checker</t>
  </si>
  <si>
    <t xml:space="preserve">Cross-checks witness accounts for contradictions and coaching signs</t>
  </si>
  <si>
    <t xml:space="preserve">1) Trigger: witness statements uploaded
2) Perceive: agent cross-checks accounts against each other and physical facts
3) Act: flags contradictions, timing conflicts and possible coaching
4) Outcome: weak statements caught early; trial risk reduced</t>
  </si>
  <si>
    <t xml:space="preserve">Contradiction spotting is pure detective work; no automated consistency or coaching-sign checks.</t>
  </si>
  <si>
    <t xml:space="preserve">D03-09</t>
  </si>
  <si>
    <t xml:space="preserve">Financial-flow tracer</t>
  </si>
  <si>
    <t xml:space="preserve">Follows laundered money across banks, hawala and crypto with UTB/FTAF</t>
  </si>
  <si>
    <t xml:space="preserve">1) Trigger: financial crime case opened or tip received
2) Perceive: agent traces flows across banks, hawala and blockchain with UTB
3) Act: visualizes laundering layers, drafts freeze/forfeiture requests
4) Outcome: money map ready for prosecutors with source-linked evidence</t>
  </si>
  <si>
    <t xml:space="preserve">AML units and bank cooperation exist; tracing across banks, hawala and crypto stays analyst-manual.</t>
  </si>
  <si>
    <t xml:space="preserve">D03-10</t>
  </si>
  <si>
    <t xml:space="preserve">Stolen-goods crawler</t>
  </si>
  <si>
    <t xml:space="preserve">Matches marketplace and social listings against the stolen-item registry</t>
  </si>
  <si>
    <t xml:space="preserve">1) Trigger: stolen-item registry updated
2) Perceive: agent crawls marketplaces and social listings continuously
3) Act: matches serials, photos and listings; builds recovery packages
4) Outcome: stolen goods found where they are actually resold - online</t>
  </si>
  <si>
    <t xml:space="preserve">A stolen-property registry exists; crawlers matching marketplace and social listings do not.</t>
  </si>
  <si>
    <t xml:space="preserve">D03-11</t>
  </si>
  <si>
    <t xml:space="preserve">Cold-case re-opener</t>
  </si>
  <si>
    <t xml:space="preserve">Re-scans old evidence with new models and surfaces fresh leads</t>
  </si>
  <si>
    <t xml:space="preserve">1) Trigger: annual cold-case review cycle
2) Perceive: agent re-scans legacy evidence with modern matching models
3) Act: surfaces fresh leads, witness re-contact lists and test requests
4) Outcome: old cases get new life without new headcount</t>
  </si>
  <si>
    <t xml:space="preserve">No program re-scans old evidence with new models to surface fresh leads.</t>
  </si>
  <si>
    <t xml:space="preserve">D03-12</t>
  </si>
  <si>
    <t xml:space="preserve">Warrant drafting copilot</t>
  </si>
  <si>
    <t xml:space="preserve">Assembles probable-cause summaries for prosecutors to review</t>
  </si>
  <si>
    <t xml:space="preserve">1) Trigger: investigator requests judicial authorization
2) Perceive: agent assembles facts, legal elements and prior drafts
3) Act: produces probable-cause summary and annexes for prosecutor review
4) Outcome: warrant applications consistent, complete and fast to review</t>
  </si>
  <si>
    <t xml:space="preserve">Prosecution drafting is human; no probable-cause assembly copilot.</t>
  </si>
  <si>
    <t xml:space="preserve">D03-13</t>
  </si>
  <si>
    <t xml:space="preserve">Lab turnaround tracker</t>
  </si>
  <si>
    <t xml:space="preserve">Chases delayed DNA and fingerprint results, flags bottlenecks</t>
  </si>
  <si>
    <t xml:space="preserve">1) Trigger: evidence submitted to forensic labs
2) Perceive: agent tracks SLAs, lab load and case urgency
3) Act: chases delays, escalates at-risk cases, reprioritizes queue
4) Outcome: evidence returns before investigations go cold</t>
  </si>
  <si>
    <t xml:space="preserve">Lab results are tracked; active chasing of delayed DNA and print results plus bottleneck flags are absent.</t>
  </si>
  <si>
    <t xml:space="preserve">D03-14</t>
  </si>
  <si>
    <t xml:space="preserve">Match-queue prioritizer</t>
  </si>
  <si>
    <t xml:space="preserve">Ranks ballistics and print hits by case urgency and solvability</t>
  </si>
  <si>
    <t xml:space="preserve">1) Trigger: lab publishes new ballistics/print matches
2) Perceive: agent scores matches by case urgency and solvability
3) Act: routes top matches to active investigations with context
4) Outcome: hits worked in hours, not lost in inboxes</t>
  </si>
  <si>
    <t xml:space="preserve">Hits are worked in arrival order; no urgency or solvability ranking of ballistics and print queues.</t>
  </si>
  <si>
    <t xml:space="preserve">D03-15</t>
  </si>
  <si>
    <t xml:space="preserve">Victim liaison agent</t>
  </si>
  <si>
    <t xml:space="preserve">Sends proactive case updates, court dates and support referrals to victims</t>
  </si>
  <si>
    <t xml:space="preserve">1) Trigger: case status changes or milestone reached
2) Perceive: agent reads case state and victim communication preferences
3) Act: sends proactive updates, court reminders, support referrals
4) Outcome: victims never chase the system; trust in justice grows</t>
  </si>
  <si>
    <t xml:space="preserve">Victims call for updates; no proactive case-update channel with court dates and referrals.</t>
  </si>
  <si>
    <t xml:space="preserve">D03-16</t>
  </si>
  <si>
    <t xml:space="preserve">Interpol liaison agent</t>
  </si>
  <si>
    <t xml:space="preserve">Drafts red notices and triages incoming foreign requests</t>
  </si>
  <si>
    <t xml:space="preserve">1) Trigger: cross-border request or match from INTERPOL channels
2) Perceive: agent parses requirements and checks against national records
3) Act: drafts red-notice packages, triages incoming requests by urgency
4) Outcome: international cooperation moves at case speed</t>
  </si>
  <si>
    <t xml:space="preserve">Interpol traffic runs through liaison officers; drafting and triage automation is absent.</t>
  </si>
  <si>
    <t xml:space="preserve">D03-17</t>
  </si>
  <si>
    <t xml:space="preserve">Burglary pattern agent</t>
  </si>
  <si>
    <t xml:space="preserve">Clusters M.O. by district and recommends task-force focus</t>
  </si>
  <si>
    <t xml:space="preserve">1) Trigger: weekly district crime review
2) Perceive: agent clusters burglary M.O. by district and window
3) Act: recommends task-force focus and target-hardening streets
4) Outcome: prevention resources aimed at the actual pattern</t>
  </si>
  <si>
    <t xml:space="preserve">The crime analysis section clusters manually; automated district M.O. recommendations are missing.</t>
  </si>
  <si>
    <t xml:space="preserve">D03-18</t>
  </si>
  <si>
    <t xml:space="preserve">Vehicle-crime workbench</t>
  </si>
  <si>
    <t xml:space="preserve">Detection queue for VIN cloning and plate-swap patterns</t>
  </si>
  <si>
    <t xml:space="preserve">1) Trigger: vehicle-related crime reports ingested
2) Perceive: agent flags VIN clones, plate swaps, import anomalies
3) Act: builds workbench queue with evidence for each suspected vehicle
4) Outcome: organized vehicle crime unraveled case by case</t>
  </si>
  <si>
    <t xml:space="preserve">No detection queue for VIN cloning and plate-swap patterns.</t>
  </si>
  <si>
    <t xml:space="preserve">D03-19</t>
  </si>
  <si>
    <t xml:space="preserve">Homicide 72-hour playbook</t>
  </si>
  <si>
    <t xml:space="preserve">Drives first-3-days task checklist, resource requests and reviews</t>
  </si>
  <si>
    <t xml:space="preserve">1) Trigger: homicide confirmed
2) Perceive: agent activates playbook with first-72-hours task graph
3) Act: assigns canvass, CCTV, forensics waves; tracks completion live
4) Outcome: golden hours managed with checklist discipline</t>
  </si>
  <si>
    <t xml:space="preserve">First-72-hours playbooks exist on paper; no agent drives checklists, resource requests and reviews.</t>
  </si>
  <si>
    <t xml:space="preserve">D03-20</t>
  </si>
  <si>
    <t xml:space="preserve">Court-package formatter</t>
  </si>
  <si>
    <t xml:space="preserve">Bundles exhibits to prosecution standards and tracks chain of custody</t>
  </si>
  <si>
    <t xml:space="preserve">1) Trigger: case file complete for prosecution
2) Perceive: agent checks exhibit list against legal requirements
3) Act: formats bundle to prosecution standards, verifies custody chain
4) Outcome: zero administrative returns from the prosecutor</t>
  </si>
  <si>
    <t xml:space="preserve">Exhibits are bundled manually to prosecution standards; no tracked auto-formatter.</t>
  </si>
  <si>
    <t xml:space="preserve">D04-01</t>
  </si>
  <si>
    <t xml:space="preserve">Traffic &amp; Road Safety</t>
  </si>
  <si>
    <t xml:space="preserve">Fine-dispute assistant</t>
  </si>
  <si>
    <t xml:space="preserve">Assembles evidence and files contestation for wrongly-issued fines</t>
  </si>
  <si>
    <t xml:space="preserve">1) Trigger: driver submits fine dispute with one tap
2) Perceive: agent pulls violation record, camera evidence, GPS history
3) Act: assembles contestation package (signage, timing, technical faults)
4) Outcome: filings are evidence-complete; wrongful fines reversed</t>
  </si>
  <si>
    <t xml:space="preserve">Fine objection is a form in the app and portals; no agent that assembles evidence and files the contestation.</t>
  </si>
  <si>
    <t xml:space="preserve">Personal</t>
  </si>
  <si>
    <t xml:space="preserve">D04-02</t>
  </si>
  <si>
    <t xml:space="preserve">Accident self-report agent</t>
  </si>
  <si>
    <t xml:space="preserve">Guides drivers, sketches scene, files report and books car assessment</t>
  </si>
  <si>
    <t xml:space="preserve">1) Trigger: minor collision - drivers open the app
2) Perceive: agent guides photos, positions and statements via chat
3) Act: files the report, books assessment slot, notifies insurer
4) Outcome: road cleared fast, paperwork finished before coffee cools</t>
  </si>
  <si>
    <t xml:space="preserve">Exists</t>
  </si>
  <si>
    <t xml:space="preserve">App-based minor-accident reporting without officer attendance already runs end-to-end; pitch only the guided orchestration layer.</t>
  </si>
  <si>
    <t xml:space="preserve">D04-03</t>
  </si>
  <si>
    <t xml:space="preserve">Fast-lane clearance agent</t>
  </si>
  <si>
    <t xml:space="preserve">Dispatches minor-collision tows to clear roads within minutes</t>
  </si>
  <si>
    <t xml:space="preserve">1) Trigger: minor collision detected or reported on a main road
2) Perceive: agent verifies drivability and lane-blockage severity
3) Act: dispatches nearest tow, coordinates safe removal sequence
4) Outcome: lanes reopened in minutes; secondary crashes prevented</t>
  </si>
  <si>
    <t xml:space="preserve">Tow dispatch runs through operators; minute-level minor-collision clearance orchestration is missing.</t>
  </si>
  <si>
    <t xml:space="preserve">D04-04</t>
  </si>
  <si>
    <t xml:space="preserve">Dashcam justice agent</t>
  </si>
  <si>
    <t xml:space="preserve">Public uploads reckless-driving video and agent opens a case file</t>
  </si>
  <si>
    <t xml:space="preserve">1) Trigger: public uploads dashcam video of dangerous driving
2) Perceive: agent reads plate, location, behavior and video metadata
3) Act: validates admissibility, opens case file, requests owner record
4) Outcome: every citizen a sensor - reckless drivers get noticed</t>
  </si>
  <si>
    <t xml:space="preserve">Videos can be sent to eCrime; no intake-to-case-file pipeline for public dashcam footage.</t>
  </si>
  <si>
    <t xml:space="preserve">D04-05</t>
  </si>
  <si>
    <t xml:space="preserve">School-bus shield agent</t>
  </si>
  <si>
    <t xml:space="preserve">Skip-arm and overtake violations auto-enforced; alerts operators</t>
  </si>
  <si>
    <t xml:space="preserve">1) Trigger: school-bus camera flags stop-arm or overtake violation
2) Perceive: agent verifies violation against footage and context
3) Act: processes enforcement, alerts operator and school transport desk
4) Outcome: the most vulnerable commuters protected automatically</t>
  </si>
  <si>
    <t xml:space="preserve">School-bus stop-arm camera fines exist; auto-enforcement with operator alert loops is not agentified.</t>
  </si>
  <si>
    <t xml:space="preserve">D04-06</t>
  </si>
  <si>
    <t xml:space="preserve">Rider-safety scorer</t>
  </si>
  <si>
    <t xml:space="preserve">Helmet detection plus per-delivery-company safety scorecards</t>
  </si>
  <si>
    <t xml:space="preserve">1) Trigger: delivery-rider violations detected at scale
2) Perceive: agent aggregates per-rider and per-company patterns
3) Act: issues scorecards, triggers training requirements for outliers
4) Outcome: platforms compete on safety, not just speed</t>
  </si>
  <si>
    <t xml:space="preserve">Helmet enforcement is camera and officer based; per-delivery-company scorecards do not exist.</t>
  </si>
  <si>
    <t xml:space="preserve">D04-07</t>
  </si>
  <si>
    <t xml:space="preserve">Hit-and-run tracker</t>
  </si>
  <si>
    <t xml:space="preserve">Matches paint, footage, parts and damage patterns to find vehicles</t>
  </si>
  <si>
    <t xml:space="preserve">1) Trigger: hit-and-run report filed
2) Perceive: agent matches paint, parts, damage and footage patterns
3) Act: queries body shops, online parts sales and camera corridors
4) Outcome: fleeing drivers identified from physical evidence trails</t>
  </si>
  <si>
    <t xml:space="preserve">Paint, footage and parts are matched manually; no cross-source hit-and-run tracking engine.</t>
  </si>
  <si>
    <t xml:space="preserve">D04-08</t>
  </si>
  <si>
    <t xml:space="preserve">Black-points coach</t>
  </si>
  <si>
    <t xml:space="preserve">Proactive nudges at 12 and 18 points; books defensive-driving courses</t>
  </si>
  <si>
    <t xml:space="preserve">1) Trigger: driver crosses 12 or 18 black points
2) Perceive: agent reviews violation history and driving context
3) Act: sends coaching nudges, books discounted defensive-driving course
4) Outcome: points become a behavior-change moment, not just a penalty</t>
  </si>
  <si>
    <t xml:space="preserve">The black-points system exists; proactive nudges at 12 and 18 points and course booking are absent.</t>
  </si>
  <si>
    <t xml:space="preserve">D04-09</t>
  </si>
  <si>
    <t xml:space="preserve">Fog-response broadcaster</t>
  </si>
  <si>
    <t xml:space="preserve">Orchestrates VMS, SMS and social advisories during low visibility</t>
  </si>
  <si>
    <t xml:space="preserve">1) Trigger: Met office issues fog/dust advisory
2) Perceive: agent models affected corridors and timing
3) Act: orchestrates VMS signs, SMS, radio and social advisories
4) Outcome: one coordinated message citywide; speed drops where it matters</t>
  </si>
  <si>
    <t xml:space="preserve">Fog advisories go out via media and app; orchestrated VMS, SMS and social automation is missing.</t>
  </si>
  <si>
    <t xml:space="preserve">D04-10</t>
  </si>
  <si>
    <t xml:space="preserve">Truck-compliance agent</t>
  </si>
  <si>
    <t xml:space="preserve">Overload, banned-hours and route enforcement workflow</t>
  </si>
  <si>
    <t xml:space="preserve">1) Trigger: truck passes ANPR/weigh-in-motion checkpoints
2) Perceive: agent checks overload, banned hours and route compliance
3) Act: flags violations to roadside teams with evidence packets
4) Outcome: heavy-vehicle rules enforced without stopping every truck</t>
  </si>
  <si>
    <t xml:space="preserve">Truck bans and weighbridges exist; an integrated violation-to-action workflow is absent.</t>
  </si>
  <si>
    <t xml:space="preserve">D04-11</t>
  </si>
  <si>
    <t xml:space="preserve">Speed-camera siting analyst</t>
  </si>
  <si>
    <t xml:space="preserve">Recommends camera locations from crash heatmaps</t>
  </si>
  <si>
    <t xml:space="preserve">1) Trigger: quarterly camera-program review
2) Perceive: agent analyzes crash heatmaps vs existing camera coverage
3) Act: recommends new locations with expected-collision-reduction math
4) Outcome: every dirham spent where it saves the most lives</t>
  </si>
  <si>
    <t xml:space="preserve">The camera network is mature; crash-heatmap-driven siting analysis is manual.</t>
  </si>
  <si>
    <t xml:space="preserve">D04-12</t>
  </si>
  <si>
    <t xml:space="preserve">Street-race predictor</t>
  </si>
  <si>
    <t xml:space="preserve">Social chatter plus gathering patterns trigger pre-positioned units</t>
  </si>
  <si>
    <t xml:space="preserve">1) Trigger: chatter about street racing detected
2) Perceive: agent reads social signals, previous gathering hotspots
3) Act: predicts time/place, pre-positions units and intercept plan
4) Outcome: events met by police, not discovered by casualties</t>
  </si>
  <si>
    <t xml:space="preserve">Enforcement follows complaints; chatter-based pre-positioning does not exist.</t>
  </si>
  <si>
    <t xml:space="preserve">D04-13</t>
  </si>
  <si>
    <t xml:space="preserve">Evacuation corridor agent</t>
  </si>
  <si>
    <t xml:space="preserve">Creates dynamic green corridors during major incidents</t>
  </si>
  <si>
    <t xml:space="preserve">1) Trigger: major incident requires corridor control
2) Perceive: agent models flows and selects arterial corridors
3) Act: creates green corridors with RTA signals and publishes diversion
4) Outcome: emergency flow protected while city keeps moving</t>
  </si>
  <si>
    <t xml:space="preserve">No dynamic green-corridor creation during major incidents.</t>
  </si>
  <si>
    <t xml:space="preserve">D04-14</t>
  </si>
  <si>
    <t xml:space="preserve">Roadworks impact reviewer</t>
  </si>
  <si>
    <t xml:space="preserve">Scores permit requests for congestion and safety risk</t>
  </si>
  <si>
    <t xml:space="preserve">1) Trigger: roadworks permit applications submitted
2) Perceive: agent scores congestion, safety and network impact
3) Act: recommends conditions, timing windows and detour plans
4) Outcome: permits granted with eyes on network effect</t>
  </si>
  <si>
    <t xml:space="preserve">Permits run through RTA; congestion and safety risk scoring is absent.</t>
  </si>
  <si>
    <t xml:space="preserve">D04-15</t>
  </si>
  <si>
    <t xml:space="preserve">Wrong-way interceptor</t>
  </si>
  <si>
    <t xml:space="preserve">Instant camera trigger sends intercept brief to nearest unit</t>
  </si>
  <si>
    <t xml:space="preserve">1) Trigger: camera detects wrong-way vehicle
2) Perceive: agent confirms direction error and tracks movement
3) Act: fires intercept brief to nearest units, warns downstream VMS
4) Outcome: head-on risk intercepted within seconds</t>
  </si>
  <si>
    <t xml:space="preserve">Wrong-way cameras exist on some roads; an instant intercept brief to the nearest unit is not deployed.</t>
  </si>
  <si>
    <t xml:space="preserve">D04-16</t>
  </si>
  <si>
    <t xml:space="preserve">Child-seat educator</t>
  </si>
  <si>
    <t xml:space="preserve">Checkpoint follow-ups and free fitment bookings for families</t>
  </si>
  <si>
    <t xml:space="preserve">1) Trigger: checkpoint detects child-seat non-compliance
2) Perceive: agent logs vehicle/child profile and education history
3) Act: schedules free fitment session, sends age-appropriate guidance
4) Outcome: education loop replaces repeat fines for families</t>
  </si>
  <si>
    <t xml:space="preserve">Fines exist; checkpoint follow-up education and free fitment booking are absent.</t>
  </si>
  <si>
    <t xml:space="preserve">D04-17</t>
  </si>
  <si>
    <t xml:space="preserve">Traffic-court scheduler</t>
  </si>
  <si>
    <t xml:space="preserve">Auto-books hearings, sends reminders, manages deferrals</t>
  </si>
  <si>
    <t xml:space="preserve">1) Trigger: dispute case ready or hearing outcome issued
2) Perceive: agent reads calendar, case type and party availability
3) Act: auto-books hearings, sends reminders, manages deferral requests
4) Outcome: traffic justice moves at calendar speed</t>
  </si>
  <si>
    <t xml:space="preserve">Hearings are booked manually or via portal; auto-scheduling with deferral management is missing.</t>
  </si>
  <si>
    <t xml:space="preserve">D04-18</t>
  </si>
  <si>
    <t xml:space="preserve">Pedestrian hotspot guardian</t>
  </si>
  <si>
    <t xml:space="preserve">Jaywalking clusters trigger officer posting and barrier fixes</t>
  </si>
  <si>
    <t xml:space="preserve">1) Trigger: jaywalking clusters detected by analytics
2) Perceive: agent maps repeat locations, times and near-miss data
3) Act: schedules officer presence, requests barrier/signal fixes
4) Outcome: engineering and enforcement aimed at the same corner</t>
  </si>
  <si>
    <t xml:space="preserve">Jaywalking enforcement exists; cluster-driven officer posting and barrier fixes are not systematic.</t>
  </si>
  <si>
    <t xml:space="preserve">D04-19</t>
  </si>
  <si>
    <t xml:space="preserve">Delivery-fleet safety API</t>
  </si>
  <si>
    <t xml:space="preserve">Serves violation insights to employers through a secure API</t>
  </si>
  <si>
    <t xml:space="preserve">1) Trigger: delivery company requests fleet-safety data
2) Perceive: agent serves anonymized violation insights via secure API
3) Act: computes per-branch risk, benchmark trends, alert subscriptions
4) Outcome: safety becomes a managed KPI inside every platform</t>
  </si>
  <si>
    <t xml:space="preserve">No secure API serving violation insights to delivery employers.</t>
  </si>
  <si>
    <t xml:space="preserve">D04-20</t>
  </si>
  <si>
    <t xml:space="preserve">Crash-insight weekly agent</t>
  </si>
  <si>
    <t xml:space="preserve">Citywide crash digest with root causes for commanders</t>
  </si>
  <si>
    <t xml:space="preserve">1) Trigger: weekly command review
2) Perceive: agent digests crash records into root-cause themes
3) Act: drafts citywide digest with trend calls and recommended actions
4) Outcome: commanders see causes, not just counts</t>
  </si>
  <si>
    <t xml:space="preserve">Crash statistics are published; no weekly root-cause digest for commanders.</t>
  </si>
  <si>
    <t xml:space="preserve">D05-01</t>
  </si>
  <si>
    <t xml:space="preserve">Cybercrime &amp; Digital Fraud</t>
  </si>
  <si>
    <t xml:space="preserve">Scam-report triage agent</t>
  </si>
  <si>
    <t xml:space="preserve">Public reports scam calls and SMS; agent runs block-and-warn pipeline</t>
  </si>
  <si>
    <t xml:space="preserve">1) Trigger: user forwards scam SMS/call details to cyber channel
2) Perceive: agent extracts numbers, links, scripts; checks fraud database
3) Act: blocks sender via telco, warns potential victims, updates patterns
4) Outcome: report-to-block loop runs in minutes, protecting thousands</t>
  </si>
  <si>
    <t xml:space="preserve">eCrime and police channels accept scam reports; an automated block-and-warn pipeline is absent.</t>
  </si>
  <si>
    <t xml:space="preserve">D05-02</t>
  </si>
  <si>
    <t xml:space="preserve">Phishing takedown agent</t>
  </si>
  <si>
    <t xml:space="preserve">Detects fake sites, notifies registrars and confirms removal</t>
  </si>
  <si>
    <t xml:space="preserve">1) Trigger: phishing site detected by crawlers or user report
2) Perceive: agent verifies fake, maps hosting, registrar and brand abused
3) Act: fires takedown notices, tracks registrar action, confirms removal
4) Outcome: fake sites die fast; victims avoid entering credentials</t>
  </si>
  <si>
    <t xml:space="preserve">DESC coordinates takedowns; a detect-notify-confirm agent loop is missing.</t>
  </si>
  <si>
    <t xml:space="preserve">D05-03</t>
  </si>
  <si>
    <t xml:space="preserve">Crypto-flow tracer</t>
  </si>
  <si>
    <t xml:space="preserve">Blockchain analytics with freeze requests to exchanges</t>
  </si>
  <si>
    <t xml:space="preserve">1) Trigger: fraud report involving crypto payment
2) Perceive: agent traces wallet flows across chains, mixers and exchanges
3) Act: prepares freeze requests to VASPs with evidence annexes
4) Outcome: stolen funds intercepted before final cash-out</t>
  </si>
  <si>
    <t xml:space="preserve">AML units and exchange cooperation exist; blockchain tracing stays specialist-manual.</t>
  </si>
  <si>
    <t xml:space="preserve">D05-04</t>
  </si>
  <si>
    <t xml:space="preserve">Sextortion first-responder</t>
  </si>
  <si>
    <t xml:space="preserve">Evidence preservation and victim support steps via discreet chat</t>
  </si>
  <si>
    <t xml:space="preserve">1) Trigger: victim messages sextortion helpline
2) Perceive: agent assesses risk, preserves evidence with hashes and metadata
3) Act: guides do/dont steps, drafts platform takedowns, links counselor
4) Outcome: victim protected from escalation; evidence ready if case proceeds</t>
  </si>
  <si>
    <t xml:space="preserve">Reporting exists; a discreet evidence-preservation and victim-support chat agent does not.</t>
  </si>
  <si>
    <t xml:space="preserve">D05-05</t>
  </si>
  <si>
    <t xml:space="preserve">Pre-victim nudger</t>
  </si>
  <si>
    <t xml:space="preserve">Warns likely fraud targets with tailored alerts before they pay</t>
  </si>
  <si>
    <t xml:space="preserve">1) Trigger: fraud patterns updated from new cases
2) Perceive: agent scores likely targets (elderly, new residents, investors)
3) Act: pushes tailored pre-fraud warnings before transfer happens
4) Outcome: prevention message arrives before the scammer closes the deal</t>
  </si>
  <si>
    <t xml:space="preserve">Banks send generic fraud SMS; no tailored pre-payment warnings to likely targets.</t>
  </si>
  <si>
    <t xml:space="preserve">D05-06</t>
  </si>
  <si>
    <t xml:space="preserve">Dark-web leak monitor</t>
  </si>
  <si>
    <t xml:space="preserve">Alerts when UAE data or citizens appear on dark markets</t>
  </si>
  <si>
    <t xml:space="preserve">1) Trigger: continuous dark-market monitoring cycle
2) Perceive: agent spots UAE-linked data dumps, ID kits and services
3) Act: alerts cyber unit, samples evidence, triggers breach notifications
4) Outcome: leaks discovered in days, not after accounts are emptied</t>
  </si>
  <si>
    <t xml:space="preserve">DESC monitors threats; systematic UAE-citizen and data leak alerts from dark markets are absent.</t>
  </si>
  <si>
    <t xml:space="preserve">D05-07</t>
  </si>
  <si>
    <t xml:space="preserve">Impersonation hunter</t>
  </si>
  <si>
    <t xml:space="preserve">Finds fake Dubai Police and gov accounts, drives takedowns</t>
  </si>
  <si>
    <t xml:space="preserve">1) Trigger: scheduled sweeps of social platforms
2) Perceive: agent detects fake Dubai Police/gov accounts and scam pages
3) Act: compiles evidence, drives platform takedowns, warns followers
4) Outcome: impersonators removed before citizens are deceived</t>
  </si>
  <si>
    <t xml:space="preserve">Fake accounts are reported manually; automated hunting and takedown driving are missing.</t>
  </si>
  <si>
    <t xml:space="preserve">D05-08</t>
  </si>
  <si>
    <t xml:space="preserve">E-commerce fraud ring agent</t>
  </si>
  <si>
    <t xml:space="preserve">Merchants share signals; agent links orders into fraud rings</t>
  </si>
  <si>
    <t xml:space="preserve">1) Trigger: merchants report suspicious orders/returns
2) Perceive: agent links orders across merchants into fraud-ring graphs
3) Act: flags mule accounts and addresses, drafts enforcement packages
4) Outcome: organized e-commerce fraud exposed across platforms</t>
  </si>
  <si>
    <t xml:space="preserve">Merchant fraud-signal sharing that links orders into rings does not exist.</t>
  </si>
  <si>
    <t xml:space="preserve">D05-09</t>
  </si>
  <si>
    <t xml:space="preserve">SIM-swap sentinel</t>
  </si>
  <si>
    <t xml:space="preserve">Flags suspicious port-ins with telcos in near real time</t>
  </si>
  <si>
    <t xml:space="preserve">1) Trigger: telco flags suspicious SIM port request
2) Perceive: agent scores risk from account history and request context
3) Act: holds porting, notifies customer via verified channel, logs case
4) Outcome: SIM-swap takeovers stopped at the door</t>
  </si>
  <si>
    <t xml:space="preserve">Banks and telcos hold internal controls; police-side near-real-time port-in flagging is absent.</t>
  </si>
  <si>
    <t xml:space="preserve">D05-10</t>
  </si>
  <si>
    <t xml:space="preserve">Mule-account mapper</t>
  </si>
  <si>
    <t xml:space="preserve">Graphs mule networks across banks for joint freeze actions</t>
  </si>
  <si>
    <t xml:space="preserve">1) Trigger: bank shares suspicious account activity
2) Perceive: agent graphs mule networks across banks and wallets
3) Act: maps layers, proposes coordinated freeze list to committee
4) Outcome: whole mule infrastructure frozen, not single accounts</t>
  </si>
  <si>
    <t xml:space="preserve">Banks file AML reports; cross-bank mule graphing for joint freeze actions is missing.</t>
  </si>
  <si>
    <t xml:space="preserve">D05-11</t>
  </si>
  <si>
    <t xml:space="preserve">SME ransomware coach</t>
  </si>
  <si>
    <t xml:space="preserve">Guides containment steps, liaises with DESC, preserves evidence</t>
  </si>
  <si>
    <t xml:space="preserve">1) Trigger: SME reports ransomware infection
2) Perceive: agent identifies strain, entry point and spread state
3) Act: guides containment steps, preserves evidence, liaises DESC
4) Outcome: small business survives attack with evidence intact</t>
  </si>
  <si>
    <t xml:space="preserve">DESC advises enterprises; SMEs get no step-by-step containment and evidence coach.</t>
  </si>
  <si>
    <t xml:space="preserve">D05-12</t>
  </si>
  <si>
    <t xml:space="preserve">Grooming-pattern sentinel</t>
  </si>
  <si>
    <t xml:space="preserve">Flags child-grooming chat patterns to the protection unit</t>
  </si>
  <si>
    <t xml:space="preserve">1) Trigger: grooming-pattern alerts from platforms/schools
2) Perceive: agent scores conversation patterns against risk indicators
3) Act: routes qualified alerts to protection unit with context
4) Outcome: human investigators start from a ranked, explained queue</t>
  </si>
  <si>
    <t xml:space="preserve">Hemayati child-safety programs exist; chat-pattern grooming flags to the protection unit are absent.</t>
  </si>
  <si>
    <t xml:space="preserve">D05-13</t>
  </si>
  <si>
    <t xml:space="preserve">Hack-report intake agent</t>
  </si>
  <si>
    <t xml:space="preserve">Companies report intrusions; agent triages and escalates to DESC</t>
  </si>
  <si>
    <t xml:space="preserve">1) Trigger: company submits intrusion report
2) Perceive: agent triages severity, actor signals and scope
3) Act: escalates to DESC per protocol, requests IOCs, tracks response
4) Outcome: national cyber picture improves with every report</t>
  </si>
  <si>
    <t xml:space="preserve">DESC and eCrime intake exist; triage and escalation are not agentified.</t>
  </si>
  <si>
    <t xml:space="preserve">D05-14</t>
  </si>
  <si>
    <t xml:space="preserve">Job-scam ad detector</t>
  </si>
  <si>
    <t xml:space="preserve">Crawls platforms for mule-recruitment and fake job offers</t>
  </si>
  <si>
    <t xml:space="preserve">1) Trigger: crawler scans job boards and socials for fake offers
2) Perceive: agent detects mule-recruitment and advance-fee patterns
3) Act: reports listings for removal, warns applicants, builds case links
4) Outcome: recruitment pipeline of fraud cut at the advertisement</t>
  </si>
  <si>
    <t xml:space="preserve">No crawler detects mule-recruitment and fake-job ads on platforms.</t>
  </si>
  <si>
    <t xml:space="preserve">D05-15</t>
  </si>
  <si>
    <t xml:space="preserve">Device triage agent</t>
  </si>
  <si>
    <t xml:space="preserve">Prioritizes seized phones and laptops by case relevance</t>
  </si>
  <si>
    <t xml:space="preserve">1) Trigger: seized devices queued for examination
2) Perceive: agent scans content volume, case keywords, file types
3) Act: prioritizes by evidential relevance, assigns examiner queues
4) Outcome: the important phone gets examined first</t>
  </si>
  <si>
    <t xml:space="preserve">The digital lab triages manually; relevance-based prioritization of seized devices is absent.</t>
  </si>
  <si>
    <t xml:space="preserve">D05-16</t>
  </si>
  <si>
    <t xml:space="preserve">Reimbursement tracker</t>
  </si>
  <si>
    <t xml:space="preserve">Tracks bank freeze to fund-return cases and updates victims</t>
  </si>
  <si>
    <t xml:space="preserve">1) Trigger: bank freezes funds in fraud case
2) Perceive: agent tracks legal steps from freeze to victim reimbursement
3) Act: chases documents, updates victim, flags stalled stages
4) Outcome: victims see their money path transparently</t>
  </si>
  <si>
    <t xml:space="preserve">Freeze-to-return tracking burdens the victim; no proactive status updates.</t>
  </si>
  <si>
    <t xml:space="preserve">D05-17</t>
  </si>
  <si>
    <t xml:space="preserve">Elder-fraud guardian</t>
  </si>
  <si>
    <t xml:space="preserve">Family opt-in alerts for unusual senior transactions</t>
  </si>
  <si>
    <t xml:space="preserve">1) Trigger: family opts in to elder-protection monitoring
2) Perceive: agent learns senior's normal transaction patterns
3) Act: alerts chosen relatives on anomalies, offers scam-call screening
4) Outcome: the most targeted demographic guarded 24/7</t>
  </si>
  <si>
    <t xml:space="preserve">No opt-in family alerts for unusual senior transactions.</t>
  </si>
  <si>
    <t xml:space="preserve">D05-18</t>
  </si>
  <si>
    <t xml:space="preserve">Scam-app spotter</t>
  </si>
  <si>
    <t xml:space="preserve">Identifies UAE-targeted malicious apps in app stores</t>
  </si>
  <si>
    <t xml:space="preserve">1) Trigger: app-store surveillance cycle
2) Perceive: agent detects UAE-targeted scam/fake apps by signature
3) Act: reports to stores, publishes warnings, maps developer networks
4) Outcome: malicious apps die at distribution</t>
  </si>
  <si>
    <t xml:space="preserve">App stores are not scanned for UAE-targeted malicious apps.</t>
  </si>
  <si>
    <t xml:space="preserve">D05-19</t>
  </si>
  <si>
    <t xml:space="preserve">Cyber-tipline agent</t>
  </si>
  <si>
    <t xml:space="preserve">One multilingual channel for any cyber report, routed correctly</t>
  </si>
  <si>
    <t xml:space="preserve">1) Trigger: any cyber concern reported by public
2) Perceive: agent classifies type, urgency and right specialist unit
3) Act: guides immediate protective steps, creates routed ticket
4) Outcome: one door for all cybercrime; nothing misrouted or lost</t>
  </si>
  <si>
    <t xml:space="preserve">eCrime is the single channel; a multilingual guided intake that routes each case correctly is missing.</t>
  </si>
  <si>
    <t xml:space="preserve">D05-20</t>
  </si>
  <si>
    <t xml:space="preserve">Threat-brief writer</t>
  </si>
  <si>
    <t xml:space="preserve">Daily executive cyber threat summary for leadership</t>
  </si>
  <si>
    <t xml:space="preserve">1) Trigger: daily 07:00 leadership cycle
2) Perceive: agent digests incidents, blocks, takedowns and threats
3) Act: drafts one-page executive brief with trend flags
4) Outcome: leadership reads one page instead of twenty systems</t>
  </si>
  <si>
    <t xml:space="preserve">Analysts compile briefs; no automated daily executive threat summary.</t>
  </si>
  <si>
    <t xml:space="preserve">D06-01</t>
  </si>
  <si>
    <t xml:space="preserve">Community Services &amp; Smart Reports</t>
  </si>
  <si>
    <t xml:space="preserve">Good-conduct certificate agent</t>
  </si>
  <si>
    <t xml:space="preserve">Instant issuance with smart checks and attestation flow</t>
  </si>
  <si>
    <t xml:space="preserve">1) Trigger: applicant requests good-conduct certificate
2) Perceive: agent verifies identity, runs smart background checks
3) Act: issues digitally signed certificate with attestation options
4) Outcome: minutes instead of office visits; employers verify instantly</t>
  </si>
  <si>
    <t xml:space="preserve">Criminal-record certificates are issued online in minutes via the app; solved - only attestation extras remain.</t>
  </si>
  <si>
    <t xml:space="preserve">D06-02</t>
  </si>
  <si>
    <t xml:space="preserve">Report-filing copilot</t>
  </si>
  <si>
    <t xml:space="preserve">Guides any police report in your language, zero office visits</t>
  </si>
  <si>
    <t xml:space="preserve">1) Trigger: citizen starts any police report in app/web
2) Perceive: agent conducts conversational intake in user's language
3) Act: fills forms, attaches evidence, submits to right department
4) Outcome: zero-visit reporting with no wrong queues</t>
  </si>
  <si>
    <t xml:space="preserve">App, eCrime and Metaverse SPS accept reports; a guided zero-office-visit copilot in any language is missing.</t>
  </si>
  <si>
    <t xml:space="preserve">D06-03</t>
  </si>
  <si>
    <t xml:space="preserve">Case-status tracker</t>
  </si>
  <si>
    <t xml:space="preserve">Proactive updates on your report, injury or traffic case</t>
  </si>
  <si>
    <t xml:space="preserve">1) Trigger: case status changes in any police system
2) Perceive: agent maps case to owner and communication preferences
3) Act: pushes proactive updates and next-step explanations
4) Outcome: the citizen never wonders what happened to their case</t>
  </si>
  <si>
    <t xml:space="preserve">Status is viewable in the app; proactive push updates per case are absent.</t>
  </si>
  <si>
    <t xml:space="preserve">D06-04</t>
  </si>
  <si>
    <t xml:space="preserve">Employer verification agent</t>
  </si>
  <si>
    <t xml:space="preserve">Instant consent-based clearance checks for hiring decisions</t>
  </si>
  <si>
    <t xml:space="preserve">1) Trigger: employer requests candidate clearance
2) Perceive: agent verifies candidate consent and request legitimacy
3) Act: returns compliant yes/no verification with reference code
4) Outcome: hiring checks lawful, instant and auditable</t>
  </si>
  <si>
    <t xml:space="preserve">Employers request clearances today; consent-based instant API verification is missing.</t>
  </si>
  <si>
    <t xml:space="preserve">D06-05</t>
  </si>
  <si>
    <t xml:space="preserve">Event security request agent</t>
  </si>
  <si>
    <t xml:space="preserve">Permits, marshals and road-closure requests in one flow</t>
  </si>
  <si>
    <t xml:space="preserve">1) Trigger: organizer submits event security request
2) Perceive: agent parses event type, scale, location and needs
3) Act: routes permit pieces, proposes marshal plan, tracks approvals
4) Outcome: one flow instead of five office visits</t>
  </si>
  <si>
    <t xml:space="preserve">Permits are handled entity by entity; one flow for permits, marshals and road closures is absent.</t>
  </si>
  <si>
    <t xml:space="preserve">D06-06</t>
  </si>
  <si>
    <t xml:space="preserve">Neighbor-mediation agent</t>
  </si>
  <si>
    <t xml:space="preserve">Books community police visits and tracks resolutions</t>
  </si>
  <si>
    <t xml:space="preserve">1) Trigger: neighbor dispute reported
2) Perceive: agent gathers history, severity and prior mediation
3) Act: books community-police visit, tracks agreements and follow-ups
4) Outcome: disputes de-escalated early by trusted intermediaries</t>
  </si>
  <si>
    <t xml:space="preserve">Community police visit on request; booking plus resolution tracking is not systematized.</t>
  </si>
  <si>
    <t xml:space="preserve">D06-07</t>
  </si>
  <si>
    <t xml:space="preserve">Welfare-check agent</t>
  </si>
  <si>
    <t xml:space="preserve">Worried about a relative? Agent dispatches a wellness visit</t>
  </si>
  <si>
    <t xml:space="preserve">1) Trigger: family member requests welfare check on relative
2) Perceive: agent verifies relationship, urgency and context
3) Act: dispatches wellness visit, relays outcome, schedules follow-up
4) Outcome: loneliness and emergencies caught by a caring system</t>
  </si>
  <si>
    <t xml:space="preserve">901 and app requests are possible; dispatch of wellness visits with a follow-up loop is not agentified.</t>
  </si>
  <si>
    <t xml:space="preserve">D06-08</t>
  </si>
  <si>
    <t xml:space="preserve">Found-property handover agent</t>
  </si>
  <si>
    <t xml:space="preserve">Guided handover flow with instant receipt and thanks</t>
  </si>
  <si>
    <t xml:space="preserve">1) Trigger: citizen finds property and offers handover
2) Perceive: agent guides cataloging with photos and pickup options
3) Act: issues instant receipt, starts owner search immediately
4) Outcome: honest finders honored; owners contacted same day</t>
  </si>
  <si>
    <t xml:space="preserve">Handover happens at stations or via forms; a guided flow with instant receipt and thanks is missing.</t>
  </si>
  <si>
    <t xml:space="preserve">D06-09</t>
  </si>
  <si>
    <t xml:space="preserve">Vacation watch registry</t>
  </si>
  <si>
    <t xml:space="preserve">Register travel dates so patrols check your home</t>
  </si>
  <si>
    <t xml:space="preserve">1) Trigger: resident registers travel dates
2) Perceive: agent maps address to patrol sectors and dates
3) Act: adds home to patrol check list, sends reassurance confirmations
4) Outcome: travelers get watched homes and peace of mind</t>
  </si>
  <si>
    <t xml:space="preserve">No register-your-travel-for-patrol-checks service exists.</t>
  </si>
  <si>
    <t xml:space="preserve">D06-10</t>
  </si>
  <si>
    <t xml:space="preserve">Nuisance router</t>
  </si>
  <si>
    <t xml:space="preserve">Noise, smell and light complaints routed to the right authority fast</t>
  </si>
  <si>
    <t xml:space="preserve">1) Trigger: noise/smell/light complaint filed
2) Perceive: agent classifies type and responsible authority
3) Act: routes to municipality/environment/police with SLA tracking
4) Outcome: complaints land at the right desk first time</t>
  </si>
  <si>
    <t xml:space="preserve">Complaints are forwarded manually across authorities; smart routing to the right entity is absent.</t>
  </si>
  <si>
    <t xml:space="preserve">D06-11</t>
  </si>
  <si>
    <t xml:space="preserve">Officer-visit scheduler</t>
  </si>
  <si>
    <t xml:space="preserve">Book community policing visits to home, school or office</t>
  </si>
  <si>
    <t xml:space="preserve">1) Trigger: resident/school/office requests police visit
2) Perceive: agent matches topic to suitable community program
3) Act: books officer visit, prepares briefing pack, confirms logistics
4) Outcome: community policing scheduled like any modern service</t>
  </si>
  <si>
    <t xml:space="preserve">Visits are arranged by phone; self-serve booking for home, school or office is missing.</t>
  </si>
  <si>
    <t xml:space="preserve">D06-12</t>
  </si>
  <si>
    <t xml:space="preserve">Domestic-worker report agent</t>
  </si>
  <si>
    <t xml:space="preserve">Absconding and employer reports handled per MOHRE rules</t>
  </si>
  <si>
    <t xml:space="preserve">1) Trigger: domestic-worker absconding or employer report
2) Perceive: agent validates details against MOHRE requirements
3) Act: files report, explains rights/duties, tracks case steps
4) Outcome: sensitive process handled by the book, both sides protected</t>
  </si>
  <si>
    <t xml:space="preserve">MOHRE and police processes are separate; integrated rule-following handling is absent.</t>
  </si>
  <si>
    <t xml:space="preserve">D06-13</t>
  </si>
  <si>
    <t xml:space="preserve">New-resident welcome agent</t>
  </si>
  <si>
    <t xml:space="preserve">Safety pack, emergency numbers and app tour on arrival</t>
  </si>
  <si>
    <t xml:space="preserve">1) Trigger: new-resident visa activation detected
2) Perceive: agent profiles typical newcomer needs and risks
3) Act: delivers safety pack, emergency numbers, app tour, scam alerts
4) Outcome: newcomers start safe and know how to reach help</t>
  </si>
  <si>
    <t xml:space="preserve">No arrival-triggered safety onboarding exists - this is the Ahlan flagship gap.</t>
  </si>
  <si>
    <t xml:space="preserve">D06-14</t>
  </si>
  <si>
    <t xml:space="preserve">Compliment &amp; complaint agent</t>
  </si>
  <si>
    <t xml:space="preserve">Routes praise and grievances, tracks to closure, reports themes</t>
  </si>
  <si>
    <t xml:space="preserve">1) Trigger: compliment or complaint submitted
2) Perceive: agent classifies, routes and checks for systemic patterns
3) Act: tracks to closure, informs citizen, feeds leadership themes
4) Outcome: feedback loop actually closes - visibly</t>
  </si>
  <si>
    <t xml:space="preserve">Complaint channels exist; closure tracking and theme reporting are manual.</t>
  </si>
  <si>
    <t xml:space="preserve">D06-15</t>
  </si>
  <si>
    <t xml:space="preserve">Hemaya volunteer agent</t>
  </si>
  <si>
    <t xml:space="preserve">Volunteer shift signup, badges and event assignments</t>
  </si>
  <si>
    <t xml:space="preserve">1) Trigger: Hemaya volunteer availability update
2) Perceive: agent matches skills, location and event needs
3) Act: manages signups, badges, assignments and hours credit
4) Outcome: volunteer force runs itself; officers just show up</t>
  </si>
  <si>
    <t xml:space="preserve">Volunteering exists; shift signup, badges and event-assignment automation are absent.</t>
  </si>
  <si>
    <t xml:space="preserve">D06-16</t>
  </si>
  <si>
    <t xml:space="preserve">Blood-donation coordinator</t>
  </si>
  <si>
    <t xml:space="preserve">Runs police-backed donation drives and matches donors</t>
  </si>
  <si>
    <t xml:space="preserve">1) Trigger: blood-drive campaign activated
2) Perceive: agent matches donor eligibility, location and stock needs
3) Act: schedules slots, sends reminders, reports stocks to blood bank
4) Outcome: campaigns fill quotas with less friction</t>
  </si>
  <si>
    <t xml:space="preserve">Police-backed drives happen; donor matching and drive orchestration platforms are missing.</t>
  </si>
  <si>
    <t xml:space="preserve">D06-17</t>
  </si>
  <si>
    <t xml:space="preserve">Peak-period advisory agent</t>
  </si>
  <si>
    <t xml:space="preserve">Auto SMS advisories for Friday, mall and mosque surges</t>
  </si>
  <si>
    <t xml:space="preserve">1) Trigger: predicted peak (Friday, sale, prayer) approaching
2) Perceive: agent models crowd buildup by district
3) Act: pushes advisory SMS/routes, alerts deployed units
4) Outcome: surges managed before congestion forms</t>
  </si>
  <si>
    <t xml:space="preserve">Advisories go out via media; area-timed auto SMS for surges is absent.</t>
  </si>
  <si>
    <t xml:space="preserve">D06-18</t>
  </si>
  <si>
    <t xml:space="preserve">Seasonal-event guide agent</t>
  </si>
  <si>
    <t xml:space="preserve">Ramadan and NYE crowd and safety guidance by district</t>
  </si>
  <si>
    <t xml:space="preserve">1) Trigger: seasonal event window (Ramadan, NYE, DSF)
2) Perceive: agent builds district-level safety and crowd guidance
3) Act: publishes tailored advisories and officer briefing packs
4) Outcome: every season met with prepared, consistent guidance</t>
  </si>
  <si>
    <t xml:space="preserve">Seasonal guidance is published statically; district-level dynamic guidance is missing.</t>
  </si>
  <si>
    <t xml:space="preserve">D06-19</t>
  </si>
  <si>
    <t xml:space="preserve">Community-themes digest</t>
  </si>
  <si>
    <t xml:space="preserve">Weekly clustering of complaints for commanders</t>
  </si>
  <si>
    <t xml:space="preserve">1) Trigger: weekly complaint digest cycle
2) Perceive: agent clusters complaints by theme, area and trend
3) Act: drafts leadership brief with root-cause hypotheses
4) Outcome: recurring irritants surface for systemic fixes</t>
  </si>
  <si>
    <t xml:space="preserve">Commanders get manual reports; automated weekly complaint clustering is absent.</t>
  </si>
  <si>
    <t xml:space="preserve">D06-20</t>
  </si>
  <si>
    <t xml:space="preserve">Accessibility services agent</t>
  </si>
  <si>
    <t xml:space="preserve">Sign-language and video relay across all police services</t>
  </si>
  <si>
    <t xml:space="preserve">1) Trigger: user needs sign-language or accessible channel
2) Perceive: agent identifies accessibility need and service requested
3) Act: provides video relay/agent support across all police services
4) Outcome: police services equally reachable for people of determination</t>
  </si>
  <si>
    <t xml:space="preserve">SPS video relay and Braille cards exist; a cross-service sign-language agent is missing.</t>
  </si>
  <si>
    <t xml:space="preserve">D07-01</t>
  </si>
  <si>
    <t xml:space="preserve">Tourist Policing</t>
  </si>
  <si>
    <t xml:space="preserve">Tourist guardian agent</t>
  </si>
  <si>
    <t xml:space="preserve">WhatsApp concierge for safety, scams, directions and SOS</t>
  </si>
  <si>
    <t xml:space="preserve">1) Trigger: tourist messages the guardian line on WhatsApp/Web
2) Perceive: agent detects language, location and intent (safety, scam, SOS)
3) Act: answers instantly, escalates real incidents to tourist police
4) Outcome: 17M+ visitors each with a safety concierge in their pocket</t>
  </si>
  <si>
    <t xml:space="preserve">Tourist Police units and multilingual services exist; a WhatsApp concierge with SOS and scam alerts is absent.</t>
  </si>
  <si>
    <t xml:space="preserve">D07-02</t>
  </si>
  <si>
    <t xml:space="preserve">Lost-passport express agent</t>
  </si>
  <si>
    <t xml:space="preserve">Police report plus embassy booking plus translation in one chat</t>
  </si>
  <si>
    <t xml:space="preserve">1) Trigger: tourist reports lost/stolen passport
2) Perceive: agent collects details, validates against passport records
3) Act: issues police report, books embassy slot, adds translation
4) Outcome: travel crisis reduced to one guided chat</t>
  </si>
  <si>
    <t xml:space="preserve">Police report and embassy visits are separate steps; one-chat orchestration with translation is missing.</t>
  </si>
  <si>
    <t xml:space="preserve">D07-03</t>
  </si>
  <si>
    <t xml:space="preserve">Hotel-theft fast lane</t>
  </si>
  <si>
    <t xml:space="preserve">Coordinated report with hotel security CCTV pull</t>
  </si>
  <si>
    <t xml:space="preserve">1) Trigger: hotel-guest theft reported
2) Perceive: agent contacts hotel security, requests CCTV window
3) Act: files coordinated report, preserves footage, assigns detective
4) Outcome: hotel cases move with evidence, not statements alone</t>
  </si>
  <si>
    <t xml:space="preserve">Reports are filed at SPS; coordinated CCTV pulls with hotel security are not systematized.</t>
  </si>
  <si>
    <t xml:space="preserve">D07-04</t>
  </si>
  <si>
    <t xml:space="preserve">Desert-tour safety agent</t>
  </si>
  <si>
    <t xml:space="preserve">Tracks licensed operators, weather holds and SOS check-ins</t>
  </si>
  <si>
    <t xml:space="preserve">1) Trigger: desert-tour operator registers departure
2) Perceive: agent checks licenses, weather, route and guest list
3) Act: enforces weather holds, monitors SOS check-ins en route
4) Outcome: desert tourism runs inside a safety envelope</t>
  </si>
  <si>
    <t xml:space="preserve">Operators are licensed; live tracking, weather holds and SOS check-ins are absent.</t>
  </si>
  <si>
    <t xml:space="preserve">D07-05</t>
  </si>
  <si>
    <t xml:space="preserve">Yacht-charter verifier</t>
  </si>
  <si>
    <t xml:space="preserve">Checks licenses, insurance and passenger manifests before sailing</t>
  </si>
  <si>
    <t xml:space="preserve">1) Trigger: yacht charter booking declared
2) Perceive: agent verifies operator license, insurance, manifests
3) Act: clears or flags departure, logs voyage for coast watch
4) Outcome: unseaworthy or illegal charters stopped at dock</t>
  </si>
  <si>
    <t xml:space="preserve">No pre-sailing verification of licenses, insurance and passenger manifests.</t>
  </si>
  <si>
    <t xml:space="preserve">D07-06</t>
  </si>
  <si>
    <t xml:space="preserve">Scam-pattern shield</t>
  </si>
  <si>
    <t xml:space="preserve">Pushes alerts on active tourist scams by area</t>
  </si>
  <si>
    <t xml:space="preserve">1) Trigger: scam reports cluster by area/time
2) Perceive: agent identifies active scam patterns against tourists
3) Act: pushes area-based alerts to visitors' devices
4) Outcome: scammers lose the information advantage</t>
  </si>
  <si>
    <t xml:space="preserve">Scam warnings are generic; area-based active-scam push alerts do not exist.</t>
  </si>
  <si>
    <t xml:space="preserve">D07-07</t>
  </si>
  <si>
    <t xml:space="preserve">Hotel liaison agent</t>
  </si>
  <si>
    <t xml:space="preserve">Daily incident digest for hotel security managers</t>
  </si>
  <si>
    <t xml:space="preserve">1) Trigger: daily hotel security digest cycle
2) Perceive: agent aggregates incidents per hotel area
3) Act: sends tailored digest to security managers with actions
4) Outcome: hotels fix their own weak points quickly</t>
  </si>
  <si>
    <t xml:space="preserve">Police-hotel relations are ad hoc; daily incident digests for security managers are absent.</t>
  </si>
  <si>
    <t xml:space="preserve">D07-08</t>
  </si>
  <si>
    <t xml:space="preserve">Cruise-arrival flow agent</t>
  </si>
  <si>
    <t xml:space="preserve">Pre-arrival safety packs for 5,000+ passenger days</t>
  </si>
  <si>
    <t xml:space="preserve">1) Trigger: cruise ship docking schedule received
2) Perceive: agent models arrival peaks and common needs
3) Act: pre-issues safety packs, staffs desks, stages units
4) Outcome: 5,000 passengers handled like 500</t>
  </si>
  <si>
    <t xml:space="preserve">No pre-arrival safety packs for cruise passenger days.</t>
  </si>
  <si>
    <t xml:space="preserve">D07-09</t>
  </si>
  <si>
    <t xml:space="preserve">Lost-child reunifier</t>
  </si>
  <si>
    <t xml:space="preserve">Instant description broadcast to units and venue screens</t>
  </si>
  <si>
    <t xml:space="preserve">1) Trigger: lost-child report at venue
2) Perceive: agent builds description, last-seen point and photo
3) Act: broadcasts to units and venue screens, coordinates search grid
4) Outcome: reunion minutes, not hours, at mega events</t>
  </si>
  <si>
    <t xml:space="preserve">Venue procedures and announcements handle lost children; instant broadcast to units and venue screens is absent.</t>
  </si>
  <si>
    <t xml:space="preserve">D07-10</t>
  </si>
  <si>
    <t xml:space="preserve">Overstay advisor</t>
  </si>
  <si>
    <t xml:space="preserve">Friendly grace-period reminders with GDRFA handoff</t>
  </si>
  <si>
    <t xml:space="preserve">1) Trigger: tourist visa nearing overstay
2) Perceive: agent checks status and grace windows with GDRFA rules
3) Act: sends friendly reminders with legal pathways to regularize
4) Outcome: overstays prevented rather than punished</t>
  </si>
  <si>
    <t xml:space="preserve">GDRFA manages overstays and fines; friendly grace-period reminders with handoff are missing.</t>
  </si>
  <si>
    <t xml:space="preserve">D07-11</t>
  </si>
  <si>
    <t xml:space="preserve">Pickpocket-alert agent</t>
  </si>
  <si>
    <t xml:space="preserve">Area-based push notifications during peak seasons</t>
  </si>
  <si>
    <t xml:space="preserve">1) Trigger: pickpocket pattern detected in tourist zones
2) Perceive: agent maps hotspots to visitor concentrations
3) Act: pushes geo-targeted alerts, schedules plain-clothes presence
4) Outcome: theft opportunity shrinks where crowds bloom</t>
  </si>
  <si>
    <t xml:space="preserve">No area-based pickpocket push alerts during peak seasons.</t>
  </si>
  <si>
    <t xml:space="preserve">D07-12</t>
  </si>
  <si>
    <t xml:space="preserve">Medical bridge agent</t>
  </si>
  <si>
    <t xml:space="preserve">Police, ambulance and insurer coordination for tourists</t>
  </si>
  <si>
    <t xml:space="preserve">1) Trigger: tourist medical emergency reported
2) Perceive: agent gathers location, condition, insurance details
3) Act: bridges police-ambulance-insurer, tracks family communication
4) Outcome: visitor health crisis managed end-to-end</t>
  </si>
  <si>
    <t xml:space="preserve">Emergency response exists; police-ambulance-insurer coordination for tourists is ad hoc.</t>
  </si>
  <si>
    <t xml:space="preserve">D07-13</t>
  </si>
  <si>
    <t xml:space="preserve">Rental-car dispute agent</t>
  </si>
  <si>
    <t xml:space="preserve">Pulls footage and files a neutral report for damage disputes</t>
  </si>
  <si>
    <t xml:space="preserve">1) Trigger: rental-car damage dispute filed
2) Perceive: agent retrieves neutral evidence - cameras, telematics
3) Act: files factual report both parties accept as unbiased
4) Outcome: disputes settle on facts, quickly</t>
  </si>
  <si>
    <t xml:space="preserve">Damage disputes stay commercial; no neutral report with footage pull.</t>
  </si>
  <si>
    <t xml:space="preserve">D07-14</t>
  </si>
  <si>
    <t xml:space="preserve">Airport-luggage report agent</t>
  </si>
  <si>
    <t xml:space="preserve">Police report for lost luggage without queueing</t>
  </si>
  <si>
    <t xml:space="preserve">1) Trigger: passenger requests luggage police report
2) Perceive: agent validates airline/airport details
3) Act: issues report digitally with claim references
4) Outcome: no queue at the airport police desk</t>
  </si>
  <si>
    <t xml:space="preserve">Airport police desks handle loss reports; queue-free app reporting with airline handoff is missing.</t>
  </si>
  <si>
    <t xml:space="preserve">D07-15</t>
  </si>
  <si>
    <t xml:space="preserve">Beach-hazard advisory agent</t>
  </si>
  <si>
    <t xml:space="preserve">Rip-current and flag-system alerts by beach</t>
  </si>
  <si>
    <t xml:space="preserve">1) Trigger: marine/beach sensor or flag data changes
2) Perceive: agent assesses rip-current and hazard conditions
3) Act: pushes beach-specific advisories to visitors in area
4) Outcome: swimmers warned in their language before entering water</t>
  </si>
  <si>
    <t xml:space="preserve">Flag systems and lifeguards exist; per-beach rip-current push alerts are absent.</t>
  </si>
  <si>
    <t xml:space="preserve">D07-16</t>
  </si>
  <si>
    <t xml:space="preserve">Exchange-scam monitor</t>
  </si>
  <si>
    <t xml:space="preserve">Tracks complaint patterns at currency exchange houses</t>
  </si>
  <si>
    <t xml:space="preserve">1) Trigger: exchange-house complaint patterns flagged
2) Perceive: agent clusters reports by location, tactic and timing
3) Act: alerts police and regulators, advises targeted inspections
4) Outcome: currency scams met with data, not anecdotes</t>
  </si>
  <si>
    <t xml:space="preserve">No complaint-pattern tracking at currency exchange houses.</t>
  </si>
  <si>
    <t xml:space="preserve">D07-17</t>
  </si>
  <si>
    <t xml:space="preserve">Event-safety planner</t>
  </si>
  <si>
    <t xml:space="preserve">Crowd plans for weddings and conferences by organizers</t>
  </si>
  <si>
    <t xml:space="preserve">1) Trigger: organizer requests event safety plan
2) Perceive: agent reads venue, capacity and activity risk profile
3) Act: drafts crowd/security plan aligned to police standards
4) Outcome: private events meet public safety bar from day one</t>
  </si>
  <si>
    <t xml:space="preserve">Organizers consult ad hoc; no crowd-plan copilot for weddings and conferences.</t>
  </si>
  <si>
    <t xml:space="preserve">D07-18</t>
  </si>
  <si>
    <t xml:space="preserve">Nightlife guardian</t>
  </si>
  <si>
    <t xml:space="preserve">Venue incident heat alerts and safety marshal scheduling</t>
  </si>
  <si>
    <t xml:space="preserve">1) Trigger: nightlife district incident data updates
2) Perceive: agent computes venue-level heat and trend
3) Act: alerts venues, coordinates marshal scheduling and checks
4) Outcome: nightlife stays vibrant and safe by data</t>
  </si>
  <si>
    <t xml:space="preserve">Venues are policed; incident heat alerts and marshal scheduling are absent.</t>
  </si>
  <si>
    <t xml:space="preserve">D07-19</t>
  </si>
  <si>
    <t xml:space="preserve">Post-visit survey agent</t>
  </si>
  <si>
    <t xml:space="preserve">Measures safety NPS and flags service gaps</t>
  </si>
  <si>
    <t xml:space="preserve">1) Trigger: post-visit survey trigger (48h after case/incident)
2) Perceive: agent gathers ratings and comments by segment
3) Act: flags service gaps, drafts improvement actions
4) Outcome: tourist policing continuously tuned to visitor needs</t>
  </si>
  <si>
    <t xml:space="preserve">Tourist safety NPS is not measured systematically.</t>
  </si>
  <si>
    <t xml:space="preserve">D07-20</t>
  </si>
  <si>
    <t xml:space="preserve">Group-tour checker</t>
  </si>
  <si>
    <t xml:space="preserve">Verifies operators, itineraries and insurance for tour groups</t>
  </si>
  <si>
    <t xml:space="preserve">1) Trigger: tour operator files group itinerary
2) Perceive: agent verifies operators, insurance and venue bookings
3) Act: clears or requests fixes, shares safety guidelines
4) Outcome: group tourism runs on verified, safe operators</t>
  </si>
  <si>
    <t xml:space="preserve">Operator licensing is separate from any police verification flow.</t>
  </si>
  <si>
    <t xml:space="preserve">D08-01</t>
  </si>
  <si>
    <t xml:space="preserve">Lost &amp; Found &amp; Property</t>
  </si>
  <si>
    <t xml:space="preserve">Lost-item matcher</t>
  </si>
  <si>
    <t xml:space="preserve">Image-similarity matching across all found-item records</t>
  </si>
  <si>
    <t xml:space="preserve">1) Trigger: lost-item report or found-item record created
2) Perceive: agent encodes item photos, marks and attributes
3) Act: runs image-similarity matching across the found database
4) Outcome: matches surfaced in seconds across thousands of items</t>
  </si>
  <si>
    <t xml:space="preserve">A lost-and-found registry exists; image-similarity matching across found-item records is absent.</t>
  </si>
  <si>
    <t xml:space="preserve">D08-02</t>
  </si>
  <si>
    <t xml:space="preserve">Found-item intake agent</t>
  </si>
  <si>
    <t xml:space="preserve">Photo to auto-catalog to owner search in seconds</t>
  </si>
  <si>
    <t xml:space="preserve">1) Trigger: finder photographs found item in app
2) Perceive: agent classifies item, extracts identifiers
3) Act: catalogs with location/time, launches owner search instantly
4) Outcome: intake to searchable record without any clerk</t>
  </si>
  <si>
    <t xml:space="preserve">Found items are logged manually; photo-to-catalog-to-owner-search in seconds is missing.</t>
  </si>
  <si>
    <t xml:space="preserve">D08-03</t>
  </si>
  <si>
    <t xml:space="preserve">Airport reunifier</t>
  </si>
  <si>
    <t xml:space="preserve">Matches left luggage to passengers and books courier delivery</t>
  </si>
  <si>
    <t xml:space="preserve">1) Trigger: airport lost-luggage record received
2) Perceive: agent matches passenger contact and flight data
3) Act: notifies owner, books courier, tracks delivery to door
4) Outcome: bags reunite with owners without airport visits</t>
  </si>
  <si>
    <t xml:space="preserve">DXB lost-property handles items; matching with courier-booked reunification is absent.</t>
  </si>
  <si>
    <t xml:space="preserve">D08-04</t>
  </si>
  <si>
    <t xml:space="preserve">Taxi-item agent</t>
  </si>
  <si>
    <t xml:space="preserve">Matches found items to trips via RTA trip data</t>
  </si>
  <si>
    <t xml:space="preserve">1) Trigger: item found in taxi reported
2) Perceive: agent matches time/route against RTA trip records
3) Act: identifies vehicle, contacts driver, arranges return
4) Outcome: left-behind phones find their way home</t>
  </si>
  <si>
    <t xml:space="preserve">RTA call centers handle taxi items; trip-data matching does not exist.</t>
  </si>
  <si>
    <t xml:space="preserve">D08-05</t>
  </si>
  <si>
    <t xml:space="preserve">Hotel-network finder</t>
  </si>
  <si>
    <t xml:space="preserve">Federated search across hotel lost-property systems</t>
  </si>
  <si>
    <t xml:space="preserve">1) Trigger: search query hits local database
2) Perceive: agent fans query across participating hotel systems
3) Act: merges matches, coordinates cross-property handover
4) Outcome: city-wide lost-property network from many silos</t>
  </si>
  <si>
    <t xml:space="preserve">No federated search across hotel lost-property systems.</t>
  </si>
  <si>
    <t xml:space="preserve">D08-06</t>
  </si>
  <si>
    <t xml:space="preserve">Wallet-return agent</t>
  </si>
  <si>
    <t xml:space="preserve">IDs owner from contents, contacts them, arranges delivery</t>
  </si>
  <si>
    <t xml:space="preserve">1) Trigger: wallet with ID contents received
2) Perceive: agent identifies owner from IDs and cards
3) Act: contacts owner, verifies claim, arranges delivery or pickup
4) Outcome: wallets returned, not warehoused</t>
  </si>
  <si>
    <t xml:space="preserve">No contents-based owner identification, contact and delivery loop.</t>
  </si>
  <si>
    <t xml:space="preserve">D08-07</t>
  </si>
  <si>
    <t xml:space="preserve">Device-recovery guide</t>
  </si>
  <si>
    <t xml:space="preserve">Remote-wipe guidance plus police report in one flow</t>
  </si>
  <si>
    <t xml:space="preserve">1) Trigger: lost device reported
2) Perceive: agent guides remote-wipe/lock and account protection
3) Act: issues police report, watches recovery listings for IMEI
4) Outcome: data protected first, recovery pursued second</t>
  </si>
  <si>
    <t xml:space="preserve">Police reports for lost devices exist; integrated remote-wipe guidance is missing.</t>
  </si>
  <si>
    <t xml:space="preserve">D08-08</t>
  </si>
  <si>
    <t xml:space="preserve">Unclaimed-auction agent</t>
  </si>
  <si>
    <t xml:space="preserve">Transparent listing and auction of unclaimed goods</t>
  </si>
  <si>
    <t xml:space="preserve">1) Trigger: unclaimed items pass retention deadline
2) Perceive: agent classifies items, estimates value, checks rules
3) Act: runs transparent listing and auction, publishes outcomes
4) Outcome: public property recycled with full transparency</t>
  </si>
  <si>
    <t xml:space="preserve">Unclaimed goods are auctioned through legal process; a transparent listing platform is absent.</t>
  </si>
  <si>
    <t xml:space="preserve">D08-09</t>
  </si>
  <si>
    <t xml:space="preserve">Valuables vault agent</t>
  </si>
  <si>
    <t xml:space="preserve">Jewelry and valuables special handling with valuation</t>
  </si>
  <si>
    <t xml:space="preserve">1) Trigger: high-value item (jewelry) received
2) Perceive: agent triggers valuation and special-storage protocol
3) Act: tracks custody, insured storage and owner verification
4) Outcome: valuables handled to bank-vault standard</t>
  </si>
  <si>
    <t xml:space="preserve">Safekeeping exists; valuation and special-handling workflows are not digitized.</t>
  </si>
  <si>
    <t xml:space="preserve">D08-10</t>
  </si>
  <si>
    <t xml:space="preserve">Lost-pet coordinator</t>
  </si>
  <si>
    <t xml:space="preserve">Works with municipality on pet matching and return</t>
  </si>
  <si>
    <t xml:space="preserve">1) Trigger: lost/found pet report
2) Perceive: agent matches photos, tags and municipality records
3) Act: connects parties, arranges shelter handover if needed
4) Outcome: pets home faster with less shelter load</t>
  </si>
  <si>
    <t xml:space="preserve">No municipality-linked pet matching and return flow.</t>
  </si>
  <si>
    <t xml:space="preserve">D08-11</t>
  </si>
  <si>
    <t xml:space="preserve">Micro-mobility finder</t>
  </si>
  <si>
    <t xml:space="preserve">Bikes and e-scooters returned to dock with owner notified</t>
  </si>
  <si>
    <t xml:space="preserve">1) Trigger: bike/scooter found and reported
2) Perceive: agent reads dock/serial identifiers
3) Act: returns to dock, notifies registered owner or operator
4) Outcome: micro-mobility losses stopped being permanent</t>
  </si>
  <si>
    <t xml:space="preserve">No dock-return and owner-notification loop for bikes and e-scooters.</t>
  </si>
  <si>
    <t xml:space="preserve">D08-12</t>
  </si>
  <si>
    <t xml:space="preserve">Luggage pre-registration</t>
  </si>
  <si>
    <t xml:space="preserve">Digital tag registration boosts reunification rates</t>
  </si>
  <si>
    <t xml:space="preserve">1) Trigger: traveler registers luggage digital tag
2) Perceive: agent stores tag-item-owner mapping
3) Act: on loss, jump-starts search with verified data
4) Outcome: pre-registered items reunite at much higher rates</t>
  </si>
  <si>
    <t xml:space="preserve">No digital luggage-tag pre-registration service.</t>
  </si>
  <si>
    <t xml:space="preserve">D08-13</t>
  </si>
  <si>
    <t xml:space="preserve">Claim-fraud filter</t>
  </si>
  <si>
    <t xml:space="preserve">Verifies claimants and detects fake property claims</t>
  </si>
  <si>
    <t xml:space="preserve">1) Trigger: property claim submitted
2) Perceive: agent verifies claimant identity and claim history
3) Act: flags suspicious claims, requests proof-of-ownership
4) Outcome: returns go to true owners only</t>
  </si>
  <si>
    <t xml:space="preserve">Claim verification is manual; fake-claim detection is absent.</t>
  </si>
  <si>
    <t xml:space="preserve">D08-14</t>
  </si>
  <si>
    <t xml:space="preserve">Courier-misdelivery mediator</t>
  </si>
  <si>
    <t xml:space="preserve">Resolves wrong-delivery disputes with evidence</t>
  </si>
  <si>
    <t xml:space="preserve">1) Trigger: misdelivery dispute filed by resident
2) Perceive: agent gathers courier evidence - GPS, photos, signatures
3) Act: mediates with evidence, escalates unresolved cases
4) Outcome: package disputes resolved on data, not shouting</t>
  </si>
  <si>
    <t xml:space="preserve">Wrong-delivery disputes are left to courier companies.</t>
  </si>
  <si>
    <t xml:space="preserve">D08-15</t>
  </si>
  <si>
    <t xml:space="preserve">Metro lost-items agent</t>
  </si>
  <si>
    <t xml:space="preserve">RTA partnership for station and metro items</t>
  </si>
  <si>
    <t xml:space="preserve">1) Trigger: item found at metro/station
2) Perceive: agent syncs with RTA lost-property flow
3) Act: catalogs, matches and arranges station pickup
4) Outcome: commuters recover items between two metro rides</t>
  </si>
  <si>
    <t xml:space="preserve">RTA lost-property offices exist; a joint matching platform is missing.</t>
  </si>
  <si>
    <t xml:space="preserve">D08-16</t>
  </si>
  <si>
    <t xml:space="preserve">Event lost-desk agent</t>
  </si>
  <si>
    <t xml:space="preserve">Combined lost-child and property desk for mega events</t>
  </si>
  <si>
    <t xml:space="preserve">1) Trigger: mega-event lost-child/property desk activated
2) Perceive: agent combines both registries with venue mapping
3) Act: coordinates reunification ops with broadcast support
4) Outcome: one desk solves both heartbreak and inconvenience</t>
  </si>
  <si>
    <t xml:space="preserve">Mega events run lost desks; a combined lost-child plus property AI desk is absent.</t>
  </si>
  <si>
    <t xml:space="preserve">D08-17</t>
  </si>
  <si>
    <t xml:space="preserve">Document fast-lane</t>
  </si>
  <si>
    <t xml:space="preserve">Diplomatic and critical documents priority return</t>
  </si>
  <si>
    <t xml:space="preserve">1) Trigger: diplomatic or critical document received
2) Perceive: agent classifies sensitivity and urgency
3) Act: priority-routes to secure return with verification
4) Outcome: sensitive documents never sit in a queue</t>
  </si>
  <si>
    <t xml:space="preserve">Critical documents are handled case by case; no formal priority lane.</t>
  </si>
  <si>
    <t xml:space="preserve">D08-18</t>
  </si>
  <si>
    <t xml:space="preserve">Surge-capacity manager</t>
  </si>
  <si>
    <t xml:space="preserve">Spawns intake agents during fare and event seasons</t>
  </si>
  <si>
    <t xml:space="preserve">1) Trigger: intake volume crosses surge threshold
2) Perceive: agent forecasts staffing vs incoming items
3) Act: spawns additional intake agents, rebalances queues
4) Outcome: fare seasons handled without backlogs</t>
  </si>
  <si>
    <t xml:space="preserve">No elastic intake agents spawned during fare and event seasons.</t>
  </si>
  <si>
    <t xml:space="preserve">D08-19</t>
  </si>
  <si>
    <t xml:space="preserve">Reunification KPI agent</t>
  </si>
  <si>
    <t xml:space="preserve">Tracks happiness metrics and follows up satisfaction</t>
  </si>
  <si>
    <t xml:space="preserve">1) Trigger: monthly KPI cycle
2) Perceive: agent analyzes reunification rates and satisfaction
3) Act: reports bottlenecks, follows up stalled cases
4) Outcome: lost &amp; found measured as happiness, not storage</t>
  </si>
  <si>
    <t xml:space="preserve">Reunification metrics are not tracked or published.</t>
  </si>
  <si>
    <t xml:space="preserve">D08-20</t>
  </si>
  <si>
    <t xml:space="preserve">Cross-emirate finder</t>
  </si>
  <si>
    <t xml:space="preserve">Federated search with other emirates' lost-property systems</t>
  </si>
  <si>
    <t xml:space="preserve">1) Trigger: local search exhausted
2) Perceive: agent federates query to other emirates' systems
3) Act: coordinates inter-emirate handover and transport
4) Outcome: UAE-wide search from one police app</t>
  </si>
  <si>
    <t xml:space="preserve">No federated search across other emirates' lost-property systems.</t>
  </si>
  <si>
    <t xml:space="preserve">D09-01</t>
  </si>
  <si>
    <t xml:space="preserve">Safe City &amp; Surveillance (Oyoon)</t>
  </si>
  <si>
    <t xml:space="preserve">Camera-health sentinel</t>
  </si>
  <si>
    <t xml:space="preserve">Detects dead, obstructed or misaligned camera feeds citywide</t>
  </si>
  <si>
    <t xml:space="preserve">1) Trigger: scheduled camera-network health sweep
2) Perceive: agent analyzes feeds for dead, blocked or misaligned cameras
3) Act: generates work orders, updates coverage maps for operators
4) Outcome: the city's eyes stay open; blind spots fixed in days</t>
  </si>
  <si>
    <t xml:space="preserve">Oyoon runs thousands of feeds; automated detection of dead, obstructed or misaligned cameras is missing.</t>
  </si>
  <si>
    <t xml:space="preserve">D09-02</t>
  </si>
  <si>
    <t xml:space="preserve">Alert-triage layer</t>
  </si>
  <si>
    <t xml:space="preserve">Filters Oyoon alerts and cuts false positives for human operators</t>
  </si>
  <si>
    <t xml:space="preserve">1) Trigger: Oyoon detection alert raised
2) Perceive: agent re-scores alert with context, history and scene data
3) Act: filters false positives, ranks true alerts for operators
4) Outcome: humans watch what matters; alarm fatigue drops sharply</t>
  </si>
  <si>
    <t xml:space="preserve">Human operators triage Oyoon alerts; an AI layer cutting false positives is not deployed.</t>
  </si>
  <si>
    <t xml:space="preserve">D09-03</t>
  </si>
  <si>
    <t xml:space="preserve">Face-match investigator</t>
  </si>
  <si>
    <t xml:space="preserve">Warrant-governed shortlist generation under strict governance</t>
  </si>
  <si>
    <t xml:space="preserve">1) Trigger: court-authorized investigative request
2) Perceive: agent verifies warrant scope before any processing
3) Act: generates ranked candidate shortlists with confidence and audit log
4) Outcome: powerful capability used inside strict governance</t>
  </si>
  <si>
    <t xml:space="preserve">Oyoon citywide surveillance with facial recognition is operational; skip the capability, pitch only the warrant-governance and audit layer.</t>
  </si>
  <si>
    <t xml:space="preserve">D09-04</t>
  </si>
  <si>
    <t xml:space="preserve">Crowd early-warning agent</t>
  </si>
  <si>
    <t xml:space="preserve">Density trends trigger pre-emptive deployment 30 minutes ahead</t>
  </si>
  <si>
    <t xml:space="preserve">1) Trigger: crowd trend crosses caution thresholds
2) Perceive: agent models density trajectory 30 minutes forward
3) Act: recommends pre-emptive deployment and entry adjustments
4) Outcome: units arrive before pressure becomes danger</t>
  </si>
  <si>
    <t xml:space="preserve">Crowd analytics exist; density trends triggering pre-emptive deployment 30 minutes ahead are absent.</t>
  </si>
  <si>
    <t xml:space="preserve">D09-05</t>
  </si>
  <si>
    <t xml:space="preserve">Abandoned-object agent</t>
  </si>
  <si>
    <t xml:space="preserve">Bomb-threat protocol automation from detection to clearance</t>
  </si>
  <si>
    <t xml:space="preserve">1) Trigger: camera detects unattended object in sensitive zone
2) Perceive: agent assesses risk profile and surroundings
3) Act: runs bomb-threat protocol - perimeter, EOD, traffic, comms
4) Outcome: standardized response in minutes, panic contained</t>
  </si>
  <si>
    <t xml:space="preserve">Oyoon detects abandoned objects; automated bomb-threat protocol from detection to clearance is missing.</t>
  </si>
  <si>
    <t xml:space="preserve">D09-06</t>
  </si>
  <si>
    <t xml:space="preserve">Vehicle-journey tracker</t>
  </si>
  <si>
    <t xml:space="preserve">ANPR reconstruction of suspect vehicle routes, warrant-controlled</t>
  </si>
  <si>
    <t xml:space="preserve">1) Trigger: ANPR hit on suspect vehicle
2) Perceive: agent reconstructs route across authorized camera corridors
3) Act: predicts destination options, recommends intercept points
4) Outcome: pursuits replaced by smart positioning</t>
  </si>
  <si>
    <t xml:space="preserve">ANPR coverage exists; suspect-vehicle route reconstruction stays analyst-manual and warrant-controlled.</t>
  </si>
  <si>
    <t xml:space="preserve">D09-07</t>
  </si>
  <si>
    <t xml:space="preserve">Perimeter-priority agent</t>
  </si>
  <si>
    <t xml:space="preserve">Ranks intrusion alerts by site criticality</t>
  </si>
  <si>
    <t xml:space="preserve">1) Trigger: intrusion alert from protected site
2) Perceive: agent scores site criticality, alert validity and history
3) Act: prioritizes operator queue, suggests response tier
4) Outcome: critical sites never wait behind trivial alerts</t>
  </si>
  <si>
    <t xml:space="preserve">Intrusion alerts arrive per site; criticality-ranked triage is absent.</t>
  </si>
  <si>
    <t xml:space="preserve">D09-08</t>
  </si>
  <si>
    <t xml:space="preserve">AI-audit guardian</t>
  </si>
  <si>
    <t xml:space="preserve">Logs every AI decision for DESC and inspector compliance</t>
  </si>
  <si>
    <t xml:space="preserve">1) Trigger: any AI-assisted decision in police systems
2) Perceive: agent logs inputs, model version, output and human action
3) Act: produces DESC/inspector-ready compliance reports on demand
4) Outcome: public trust backed by technical accountability</t>
  </si>
  <si>
    <t xml:space="preserve">No citywide logging of AI decisions for DESC and inspector compliance.</t>
  </si>
  <si>
    <t xml:space="preserve">D09-09</t>
  </si>
  <si>
    <t xml:space="preserve">Acoustic-shot integrator</t>
  </si>
  <si>
    <t xml:space="preserve">Fuses acoustic sensors with camera slew-to-cue response</t>
  </si>
  <si>
    <t xml:space="preserve">1) Trigger: acoustic sensor detects potential gunfire
2) Perceive: agent cross-checks with camera availability and context
3) Act: slews cameras to source, drafts dispatch with audio evidence
4) Outcome: shots met by verified eyes within seconds</t>
  </si>
  <si>
    <t xml:space="preserve">No acoustic sensors fused with camera slew-to-cue response.</t>
  </si>
  <si>
    <t xml:space="preserve">D09-10</t>
  </si>
  <si>
    <t xml:space="preserve">Hotspot analytics agent</t>
  </si>
  <si>
    <t xml:space="preserve">ATM fraud and loan-shark visual pattern detection</t>
  </si>
  <si>
    <t xml:space="preserve">1) Trigger: visual analytics cycle on flagged locations
2) Perceive: agent detects ATM tampering, loitering and exchange patterns
3) Act: builds hotspot files for targeted patrols
4) Outcome: predatory street crime met with precision presence</t>
  </si>
  <si>
    <t xml:space="preserve">Oyoon analytics exist; ATM-fraud and loan-shark visual patterns are not automated.</t>
  </si>
  <si>
    <t xml:space="preserve">D09-11</t>
  </si>
  <si>
    <t xml:space="preserve">Street-fight detector</t>
  </si>
  <si>
    <t xml:space="preserve">Early altercation detection with dispatch handoff</t>
  </si>
  <si>
    <t xml:space="preserve">1) Trigger: camera detects altercation signatures
2) Perceive: agent verifies fight probability, weapon indicators
3) Act: hands off to dispatch with location, clip and risk notes
4) Outcome: interventions before injuries occur</t>
  </si>
  <si>
    <t xml:space="preserve">Altercation detection is trialed globally; a dispatch handoff layer is absent in Dubai.</t>
  </si>
  <si>
    <t xml:space="preserve">D09-12</t>
  </si>
  <si>
    <t xml:space="preserve">Mall-federation agent</t>
  </si>
  <si>
    <t xml:space="preserve">Queries consented private cameras during incidents</t>
  </si>
  <si>
    <t xml:space="preserve">1) Trigger: incident requires private-camera footage
2) Perceive: agent queries consented mall/campus camera federations
3) Act: retrieves relevant clips with privacy-compliant logging
4) Outcome: private cameras join the safety network lawfully</t>
  </si>
  <si>
    <t xml:space="preserve">No consented federation of private mall cameras during incidents.</t>
  </si>
  <si>
    <t xml:space="preserve">D09-13</t>
  </si>
  <si>
    <t xml:space="preserve">School-dispersal sentinel</t>
  </si>
  <si>
    <t xml:space="preserve">Child-safety alerts at school start and end windows</t>
  </si>
  <si>
    <t xml:space="preserve">1) Trigger: school start/end windows
2) Perceive: agent monitors dispersal zones for risks to children
3) Act: alerts wardens on hazards, flags suspicious behavior for review
4) Outcome: the daily school run gets a safety umbrella</t>
  </si>
  <si>
    <t xml:space="preserve">No child-safety alerts at school start and end windows.</t>
  </si>
  <si>
    <t xml:space="preserve">D09-14</t>
  </si>
  <si>
    <t xml:space="preserve">Auto-incident detector</t>
  </si>
  <si>
    <t xml:space="preserve">Detects crashes and stalls, feeds traffic ops instantly</t>
  </si>
  <si>
    <t xml:space="preserve">1) Trigger: camera detects crash or stalled vehicle
2) Perceive: agent classifies severity and lane impact
3) Act: feeds traffic ops instantly, drafts dispatch if needed
4) Outcome: incidents found without waiting for 999 calls</t>
  </si>
  <si>
    <t xml:space="preserve">Oyoon and traffic cameras detect incidents; an instant feed into traffic ops is not automated.</t>
  </si>
  <si>
    <t xml:space="preserve">D09-15</t>
  </si>
  <si>
    <t xml:space="preserve">Airspace watch agent</t>
  </si>
  <si>
    <t xml:space="preserve">Detects rogue drones and triggers counter-UAS protocol</t>
  </si>
  <si>
    <t xml:space="preserve">1) Trigger: airspace sensor detects unauthorized drone
2) Perceive: agent classifies type, path and sensitive-zone proximity
3) Act: triggers counter-UAS protocol, coordinates interception
4) Outcome: rogue drones neutralized before they become threats</t>
  </si>
  <si>
    <t xml:space="preserve">Counter-drone capability is announced; citywide rogue-drone detection with protocol triggers is absent.</t>
  </si>
  <si>
    <t xml:space="preserve">D09-16</t>
  </si>
  <si>
    <t xml:space="preserve">Coastal-watch integrator</t>
  </si>
  <si>
    <t xml:space="preserve">Links coastal cameras with marine unit response</t>
  </si>
  <si>
    <t xml:space="preserve">1) Trigger: coastal camera or radar anomaly
2) Perceive: agent correlates with AIS, weather and patrol positions
3) Act: tasking marine units with fused operational picture
4) Outcome: coastline watched as one integrated system</t>
  </si>
  <si>
    <t xml:space="preserve">Coastal cameras and marine units exist; fused response integration is missing.</t>
  </si>
  <si>
    <t xml:space="preserve">D09-17</t>
  </si>
  <si>
    <t xml:space="preserve">Site-theft pattern agent</t>
  </si>
  <si>
    <t xml:space="preserve">Construction-site theft patterns across the city</t>
  </si>
  <si>
    <t xml:space="preserve">1) Trigger: construction-site theft reports
2) Perceive: agent detects cross-site patterns in materials/tools theft
3) Act: links sites, buyers and vehicles into case packages
4) Outcome: organized site crime exposed across the city</t>
  </si>
  <si>
    <t xml:space="preserve">Construction-site theft patterns are not tracked citywide.</t>
  </si>
  <si>
    <t xml:space="preserve">D09-18</t>
  </si>
  <si>
    <t xml:space="preserve">Dashcam auto-tagger</t>
  </si>
  <si>
    <t xml:space="preserve">Tags and preserves fleet dashcam incident footage</t>
  </si>
  <si>
    <t xml:space="preserve">1) Trigger: fleet dashcam incident trigger
2) Perceive: agent tags event type, time and vehicle context
3) Act: preserves clip with custody log, routes to claims/case
4) Outcome: every patrol car becomes an evidence source</t>
  </si>
  <si>
    <t xml:space="preserve">Fleet dashcam footage is pulled manually; auto-tagging and preservation are absent.</t>
  </si>
  <si>
    <t xml:space="preserve">D09-19</t>
  </si>
  <si>
    <t xml:space="preserve">Place-risk scorer</t>
  </si>
  <si>
    <t xml:space="preserve">Scores streets by lighting and sightlines for municipal fixes</t>
  </si>
  <si>
    <t xml:space="preserve">1) Trigger: periodic urban-safety review
2) Perceive: agent scores streets by lighting, sightlines, incidents
3) Act: files prioritized design fixes with municipalities
4) Outcome: CPTED improvements where crime actually breeds</t>
  </si>
  <si>
    <t xml:space="preserve">No street scoring by lighting and sightlines for municipal fixes.</t>
  </si>
  <si>
    <t xml:space="preserve">D09-20</t>
  </si>
  <si>
    <t xml:space="preserve">Weekly intel digest</t>
  </si>
  <si>
    <t xml:space="preserve">Commander-level safe-city trends summary</t>
  </si>
  <si>
    <t xml:space="preserve">1) Trigger: weekly command cycle
2) Perceive: agent digests detections, responses and outcomes
3) Act: drafts trends brief with system-health and coverage flags
4) Outcome: commanders see the safe city as one dashboard</t>
  </si>
  <si>
    <t xml:space="preserve">Commander reports are compiled manually; an automated weekly safe-city digest is absent.</t>
  </si>
  <si>
    <t xml:space="preserve">D10-01</t>
  </si>
  <si>
    <t xml:space="preserve">Drugs, Weapons &amp; Organized Crime</t>
  </si>
  <si>
    <t xml:space="preserve">Informant-note digitizer</t>
  </si>
  <si>
    <t xml:space="preserve">Structured, access-controlled digitization and linkage of reports</t>
  </si>
  <si>
    <t xml:space="preserve">1) Trigger: informant debrief documented by handler
2) Perceive: agent structures notes into searchable, coded intelligence
3) Act: links entities across reports under strict access control
4) Outcome: decades of paper intelligence becomes queryable</t>
  </si>
  <si>
    <t xml:space="preserve">Informant files sit in systems; structured, access-controlled digitization and linkage are absent.</t>
  </si>
  <si>
    <t xml:space="preserve">D10-02</t>
  </si>
  <si>
    <t xml:space="preserve">Parcel-indicator agent</t>
  </si>
  <si>
    <t xml:space="preserve">Courier data patterns for narcotics with customs partnership</t>
  </si>
  <si>
    <t xml:space="preserve">1) Trigger: courier/customs data feed updates
2) Perceive: agent scores parcels for narcotics indicators
3) Act: flags high-risk shipments with reasons for interdiction
4) Outcome: the mail pipeline monitored at machine scale</t>
  </si>
  <si>
    <t xml:space="preserve">Customs X-ray and K9 cover the ports; courier data-pattern narcotics flagging is missing.</t>
  </si>
  <si>
    <t xml:space="preserve">D10-03</t>
  </si>
  <si>
    <t xml:space="preserve">Precursor-monitor agent</t>
  </si>
  <si>
    <t xml:space="preserve">Flags suspicious chemical purchase patterns</t>
  </si>
  <si>
    <t xml:space="preserve">1) Trigger: chemical supplier purchase data received
2) Perceive: agent flags precursor combinations and buying patterns
3) Act: alerts investigators with evidence-ready flags
4) Outcome: labs starved before they start</t>
  </si>
  <si>
    <t xml:space="preserve">Chemical sales are regulated; suspicious purchase-pattern flagging is absent.</t>
  </si>
  <si>
    <t xml:space="preserve">D10-04</t>
  </si>
  <si>
    <t xml:space="preserve">Street-network mapper</t>
  </si>
  <si>
    <t xml:space="preserve">Graphs dealer networks from arrests and lawful intercepts</t>
  </si>
  <si>
    <t xml:space="preserve">1) Trigger: arrest and lawful-intercept data ingested
2) Perceive: agent graphs dealer networks, roles and hierarchies
3) Act: recommends highest-value disruption targets
4) Outcome: networks dismantled, not just arrests counted</t>
  </si>
  <si>
    <t xml:space="preserve">Arrest records are linked manually; graph analysis of dealer networks is not deployed.</t>
  </si>
  <si>
    <t xml:space="preserve">D10-05</t>
  </si>
  <si>
    <t xml:space="preserve">Prescription-diversion agent</t>
  </si>
  <si>
    <t xml:space="preserve">Pharmacy-level prescription diversion detection</t>
  </si>
  <si>
    <t xml:space="preserve">1) Trigger: pharmacy dispensing data syncs
2) Perceive: agent detects diversion patterns - shopping, forging, dosing
3) Act: flags pharmacies/prescribers for compliance review
4) Outcome: prescription abuse caught at the counter</t>
  </si>
  <si>
    <t xml:space="preserve">Pharmacy data is not mined for prescription diversion.</t>
  </si>
  <si>
    <t xml:space="preserve">D10-06</t>
  </si>
  <si>
    <t xml:space="preserve">Darknet monitor</t>
  </si>
  <si>
    <t xml:space="preserve">UAE-relevant listings and vendor surveillance</t>
  </si>
  <si>
    <t xml:space="preserve">1) Trigger: darknet surveillance cycle
2) Perceive: agent tracks UAE-relevant listings, vendors, trends
3) Act: builds intelligence packages, supports undercover ops
4) Outcome: online drug markets mapped continuously</t>
  </si>
  <si>
    <t xml:space="preserve">The cybercrime department monitors; systematic UAE-relevant darknet vendor surveillance is absent.</t>
  </si>
  <si>
    <t xml:space="preserve">D10-07</t>
  </si>
  <si>
    <t xml:space="preserve">Gang-sign classifier</t>
  </si>
  <si>
    <t xml:space="preserve">Graffiti and hand-sign classification for gang mapping</t>
  </si>
  <si>
    <t xml:space="preserve">1) Trigger: graffiti/hand-sign imagery ingested
2) Perceive: agent classifies gang symbols and territorial claims
3) Act: updates gang maps with location-tagged evidence
4) Outcome: turf shifts visible to analysts early</t>
  </si>
  <si>
    <t xml:space="preserve">Graffiti and hand-sign classification for gang mapping does not exist.</t>
  </si>
  <si>
    <t xml:space="preserve">D10-08</t>
  </si>
  <si>
    <t xml:space="preserve">Drone-drop sentinel</t>
  </si>
  <si>
    <t xml:space="preserve">Detects contraband drone drops at correctional facilities</t>
  </si>
  <si>
    <t xml:space="preserve">1) Trigger: facility perimeter sensors detect drone flight
2) Perceive: agent confirms contraband-drop signature
3) Act: alerts facility, preserves flight data, guides search
4) Outcome: drone smuggling met at the wall</t>
  </si>
  <si>
    <t xml:space="preserve">No detection of contraband drone drops at correctional facilities.</t>
  </si>
  <si>
    <t xml:space="preserve">D10-09</t>
  </si>
  <si>
    <t xml:space="preserve">Trafficking-indicator agent</t>
  </si>
  <si>
    <t xml:space="preserve">Spa and labor pattern flags for multidisciplinary review</t>
  </si>
  <si>
    <t xml:space="preserve">1) Trigger: multi-agency case conference cycle
2) Perceive: agent scores spa/labor indicators for trafficking signals
3) Act: prepares multidisciplinary review packages with privacy care
4) Outcome: hidden victims surfaced by pattern, not chance</t>
  </si>
  <si>
    <t xml:space="preserve">A human-trafficking unit and shelters exist; spa and labor pattern flags for review are absent.</t>
  </si>
  <si>
    <t xml:space="preserve">D10-10</t>
  </si>
  <si>
    <t xml:space="preserve">Weapon-trace agent</t>
  </si>
  <si>
    <t xml:space="preserve">Serial recovery and import-record tracing</t>
  </si>
  <si>
    <t xml:space="preserve">1) Trigger: recovered weapon enters evidence
2) Perceive: agent traces serials, import and sale records
3) Act: builds ownership chains for investigators
4) Outcome: every gun tells its story</t>
  </si>
  <si>
    <t xml:space="preserve">Serial tracing runs through Interpol and manual checks; import-record automation is missing.</t>
  </si>
  <si>
    <t xml:space="preserve">D10-11</t>
  </si>
  <si>
    <t xml:space="preserve">Asset-tracing agent</t>
  </si>
  <si>
    <t xml:space="preserve">Follows criminal proceeds for forfeiture case preparation</t>
  </si>
  <si>
    <t xml:space="preserve">1) Trigger: financial intel on organized groups
2) Perceive: agent maps proceeds into assets and entities
3) Act: drafts forfeiture packages with evidence links
4) Outcome: crime that loses money loses motivation</t>
  </si>
  <si>
    <t xml:space="preserve">Forfeiture cases exist; tracing criminal proceeds for case prep stays specialist-manual.</t>
  </si>
  <si>
    <t xml:space="preserve">D10-12</t>
  </si>
  <si>
    <t xml:space="preserve">Rehab-referral agent</t>
  </si>
  <si>
    <t xml:space="preserve">Post-case treatment and support matching</t>
  </si>
  <si>
    <t xml:space="preserve">1) Trigger: case closure or user self-referral
2) Perceive: agent profiles treatment needs and readiness
3) Act: matches rehab programs, books intake, tracks progress
4) Outcome: addiction exits through doors, not cells</t>
  </si>
  <si>
    <t xml:space="preserve">Rehab runs through licensed centers; post-case treatment matching is absent.</t>
  </si>
  <si>
    <t xml:space="preserve">D10-13</t>
  </si>
  <si>
    <t xml:space="preserve">K9-deploy optimizer</t>
  </si>
  <si>
    <t xml:space="preserve">Matches K9 teams to the highest-value checkpoints</t>
  </si>
  <si>
    <t xml:space="preserve">1) Trigger: daily checkpoint plan cycle
2) Perceive: agent scores locations by risk and K9 capacity
3) Act: assigns K9 teams to highest-value deployments
4) Outcome: noses deployed where seizures happen</t>
  </si>
  <si>
    <t xml:space="preserve">K9 teams deploy by roster; no value-based checkpoint matching.</t>
  </si>
  <si>
    <t xml:space="preserve">D10-14</t>
  </si>
  <si>
    <t xml:space="preserve">Youth-recruitment sentinel</t>
  </si>
  <si>
    <t xml:space="preserve">Early warnings of gang grooming in schools and social media</t>
  </si>
  <si>
    <t xml:space="preserve">1) Trigger: school/social grooming-pattern alerts
2) Perceive: agent scores recruitment risk by network and narrative
3) Act: alerts prevention teams, triggers mentor interventions
4) Outcome: kids pulled back before gangs claim them</t>
  </si>
  <si>
    <t xml:space="preserve">No early warning of gang grooming in schools and social media.</t>
  </si>
  <si>
    <t xml:space="preserve">D10-15</t>
  </si>
  <si>
    <t xml:space="preserve">Skimmer detector</t>
  </si>
  <si>
    <t xml:space="preserve">ATM and fuel-pump skimmer pattern alerts</t>
  </si>
  <si>
    <t xml:space="preserve">1) Trigger: ATM/fuel-pump telemetry anomalies
2) Perceive: agent detects skimmer signatures across networks
3) Act: dispatches technical inspection, warns cardholders
4) Outcome: skimmers found before accounts drained</t>
  </si>
  <si>
    <t xml:space="preserve">ATM fraud is reported post-hoc; skimmer pattern alerts are absent.</t>
  </si>
  <si>
    <t xml:space="preserve">D10-16</t>
  </si>
  <si>
    <t xml:space="preserve">Counterfeit-market agent</t>
  </si>
  <si>
    <t xml:space="preserve">Fake goods marketplace monitoring with Economy &amp; Tourism</t>
  </si>
  <si>
    <t xml:space="preserve">1) Trigger: marketplace monitoring cycle
2) Perceive: agent detects counterfeit listings and seller networks
3) Act: coordinates takedowns and inspection targets with Economy
4) Outcome: fakes squeezed from both supply and demand</t>
  </si>
  <si>
    <t xml:space="preserve">Joint raids happen with Economy and Tourism; marketplace monitoring is missing.</t>
  </si>
  <si>
    <t xml:space="preserve">D10-17</t>
  </si>
  <si>
    <t xml:space="preserve">Piracy-street agent</t>
  </si>
  <si>
    <t xml:space="preserve">Pirated goods vendor hotspots for joint enforcement</t>
  </si>
  <si>
    <t xml:space="preserve">1) Trigger: vendor hotspot complaints and sweeps data
2) Perceive: agent maps pirated-goods patterns by area/time
3) Act: plans joint enforcement with municipal teams
4) Outcome: street piracy managed with consistent pressure</t>
  </si>
  <si>
    <t xml:space="preserve">Piracy enforcement follows complaints; vendor-hotspot analytics are absent.</t>
  </si>
  <si>
    <t xml:space="preserve">D10-18</t>
  </si>
  <si>
    <t xml:space="preserve">GCC-liaison digest</t>
  </si>
  <si>
    <t xml:space="preserve">Cross-border intelligence sharing summaries</t>
  </si>
  <si>
    <t xml:space="preserve">1) Trigger: cross-border case coordination
2) Perceive: agent compiles relevant intel by GCC partner needs
3) Act: drafts sharing summaries under MoU frameworks
4) Outcome: regional crime fought as one region</t>
  </si>
  <si>
    <t xml:space="preserve">GCC cooperation exists; automated sharing summaries are missing.</t>
  </si>
  <si>
    <t xml:space="preserve">D10-19</t>
  </si>
  <si>
    <t xml:space="preserve">Case-priority scorer</t>
  </si>
  <si>
    <t xml:space="preserve">Ranks squad caseload by community harm and solvability</t>
  </si>
  <si>
    <t xml:space="preserve">1) Trigger: squad caseload review
2) Perceive: agent scores cases by harm, solvability and resources
3) Act: recommends priority order with transparent logic
4) Outcome: detective hours go where they matter most</t>
  </si>
  <si>
    <t xml:space="preserve">Squad caseload follows tradition; no harm or solvability ranking.</t>
  </si>
  <si>
    <t xml:space="preserve">D10-20</t>
  </si>
  <si>
    <t xml:space="preserve">Vault-integrity agent</t>
  </si>
  <si>
    <t xml:space="preserve">Evidence-store access anomaly monitoring</t>
  </si>
  <si>
    <t xml:space="preserve">1) Trigger: evidence-store access events
2) Perceive: agent profiles anomalies - odd hours, unusual items
3) Act: alerts custody officers, triggers integrity audits
4) Outcome: the evidence vault polices itself</t>
  </si>
  <si>
    <t xml:space="preserve">Evidence stores are access-controlled; access-anomaly monitoring is absent.</t>
  </si>
  <si>
    <t xml:space="preserve">D11-01</t>
  </si>
  <si>
    <t xml:space="preserve">Family, Women &amp; Children Protection</t>
  </si>
  <si>
    <t xml:space="preserve">DV-risk assessor</t>
  </si>
  <si>
    <t xml:space="preserve">Structured risk scoring; human officers make the decisions</t>
  </si>
  <si>
    <t xml:space="preserve">1) Trigger: domestic-violence report or referral
2) Perceive: agent applies structured risk instrument to case facts
3) Act: drafts safety plan options; officer makes all decisions
4) Outcome: consistent, defensible risk triage with human control</t>
  </si>
  <si>
    <t xml:space="preserve">Family cases are reviewed by officers; structured domestic-violence risk scoring is absent.</t>
  </si>
  <si>
    <t xml:space="preserve">D11-02</t>
  </si>
  <si>
    <t xml:space="preserve">Grooming-alert agent</t>
  </si>
  <si>
    <t xml:space="preserve">School-reported chat pattern flags with consent frameworks</t>
  </si>
  <si>
    <t xml:space="preserve">1) Trigger: school/parent consented chat-pattern reports
2) Perceive: agent scores grooming indicators with context
3) Act: routes qualified alerts to protection officers
4) Outcome: early warning for the adults who can act</t>
  </si>
  <si>
    <t xml:space="preserve">Hemayati school-safety programs exist; chat-pattern grooming flags under consent frameworks are missing.</t>
  </si>
  <si>
    <t xml:space="preserve">D11-03</t>
  </si>
  <si>
    <t xml:space="preserve">Missing-child rapid agent</t>
  </si>
  <si>
    <t xml:space="preserve">Amber automation: broadcast, transport hubs, hospital sweeps</t>
  </si>
  <si>
    <t xml:space="preserve">1) Trigger: missing-child report accepted
2) Perceive: agent builds profile, last-seen map and risk grade
3) Act: automates amber protocol across transport, hospitals, media
4) Outcome: the most urgent search runs on rails</t>
  </si>
  <si>
    <t xml:space="preserve">Amber-style alerts run manually; automated broadcast, transport-hub and hospital sweeps are absent.</t>
  </si>
  <si>
    <t xml:space="preserve">D11-04</t>
  </si>
  <si>
    <t xml:space="preserve">Safe-exchange scheduler</t>
  </si>
  <si>
    <t xml:space="preserve">Supervised custody-handover bookings and monitoring</t>
  </si>
  <si>
    <t xml:space="preserve">1) Trigger: separated parent requests supervised handover
2) Perceive: agent validates orders, schedules slots at safe points
3) Act: coordinates supervision, logs incidents for courts
4) Outcome: children exchange parents, not trauma</t>
  </si>
  <si>
    <t xml:space="preserve">No supervised custody-handover booking and monitoring service.</t>
  </si>
  <si>
    <t xml:space="preserve">D11-05</t>
  </si>
  <si>
    <t xml:space="preserve">Family-guidance booker</t>
  </si>
  <si>
    <t xml:space="preserve">Appointments for Dubai Police family support programs</t>
  </si>
  <si>
    <t xml:space="preserve">1) Trigger: family requests support program access
2) Perceive: agent matches needs to Dubai Police family services
3) Act: books appointments, sends reminders, tracks attendance
4) Outcome: help reaches families before crisis</t>
  </si>
  <si>
    <t xml:space="preserve">Family support programs exist; self-serve appointment booking is missing.</t>
  </si>
  <si>
    <t xml:space="preserve">D11-06</t>
  </si>
  <si>
    <t xml:space="preserve">School-officer coordinator</t>
  </si>
  <si>
    <t xml:space="preserve">Schedules protection officers and tracks school flags</t>
  </si>
  <si>
    <t xml:space="preserve">1) Trigger: school protection-officer scheduling cycle
2) Perceive: agent balances school needs, officer skills, calendars
3) Act: manages visits, tracks school-raised flags to closure
4) Outcome: every school has consistent protective presence</t>
  </si>
  <si>
    <t xml:space="preserve">Officers are assigned to schools; scheduling and flag tracking are not digitized.</t>
  </si>
  <si>
    <t xml:space="preserve">D11-07</t>
  </si>
  <si>
    <t xml:space="preserve">Elder-neglect sentinel</t>
  </si>
  <si>
    <t xml:space="preserve">Care-pattern flags for joint review with CDA</t>
  </si>
  <si>
    <t xml:space="preserve">1) Trigger: elder-care pattern flags from partners
2) Perceive: agent scores neglect indicators with CDA context
3) Act: prepares joint-review cases with evidence timelines
4) Outcome: silent suffering detected by data</t>
  </si>
  <si>
    <t xml:space="preserve">CDA oversees welfare; care-pattern flags for joint review are absent.</t>
  </si>
  <si>
    <t xml:space="preserve">D11-08</t>
  </si>
  <si>
    <t xml:space="preserve">Confidential DV reporter</t>
  </si>
  <si>
    <t xml:space="preserve">Multilingual discreet reporting with safety planning</t>
  </si>
  <si>
    <t xml:space="preserve">1) Trigger: victim opens discreet reporting channel
2) Perceive: agent conducts safe, multilingual intake
3) Act: creates protected case, drafts safety plan, links officer
4) Outcome: reporting possible when it matters most - quietly</t>
  </si>
  <si>
    <t xml:space="preserve">Reporting runs through police and SPS; multilingual discreet reporting with safety planning is missing.</t>
  </si>
  <si>
    <t xml:space="preserve">D11-09</t>
  </si>
  <si>
    <t xml:space="preserve">Runaway-support agent</t>
  </si>
  <si>
    <t xml:space="preserve">Mediation, shelter booking and return planning for teens</t>
  </si>
  <si>
    <t xml:space="preserve">1) Trigger: teen reported missing or runaway flag
2) Perceive: agent gathers context - home, school, peers, devices
3) Act: coordinates search, mediates return, books support
4) Outcome: runaways met with solutions, not judgment</t>
  </si>
  <si>
    <t xml:space="preserve">No mediation, shelter-booking and return-planning flow for runaways.</t>
  </si>
  <si>
    <t xml:space="preserve">D11-10</t>
  </si>
  <si>
    <t xml:space="preserve">Cyberbullying responder</t>
  </si>
  <si>
    <t xml:space="preserve">Youth-facing evidence capture and school liaison</t>
  </si>
  <si>
    <t xml:space="preserve">1) Trigger: youth reports cyberbullying
2) Perceive: agent preserves evidence, assesses severity
3) Act: guides platform takedowns, liaises school, links counselor
4) Outcome: young people get fast, competent backup</t>
  </si>
  <si>
    <t xml:space="preserve">eCrime accepts cyberbullying reports; youth evidence-capture with school liaison is absent.</t>
  </si>
  <si>
    <t xml:space="preserve">Youth</t>
  </si>
  <si>
    <t xml:space="preserve">D11-11</t>
  </si>
  <si>
    <t xml:space="preserve">Financial-abuse advisor</t>
  </si>
  <si>
    <t xml:space="preserve">Explains rights and options in economic abuse cases</t>
  </si>
  <si>
    <t xml:space="preserve">1) Trigger: economic-abuse concern raised
2) Perceive: agent explains rights, options and legal protections
3) Act: connects to legal aid and financial counselors
4) Outcome: invisible abuse gets visible pathways out</t>
  </si>
  <si>
    <t xml:space="preserve">No rights-and-options explainer for economic abuse cases.</t>
  </si>
  <si>
    <t xml:space="preserve">D11-12</t>
  </si>
  <si>
    <t xml:space="preserve">Order-compliance monitor</t>
  </si>
  <si>
    <t xml:space="preserve">Protection-order breach detection and alerts</t>
  </si>
  <si>
    <t xml:space="preserve">1) Trigger: protection order issued
2) Perceive: agent monitors compliance signals and distances
3) Act: alerts officers on breaches with full context
4) Outcome: paper protection becomes physical protection</t>
  </si>
  <si>
    <t xml:space="preserve">Protection orders are tracked manually; breach detection and alerts are absent.</t>
  </si>
  <si>
    <t xml:space="preserve">D11-13</t>
  </si>
  <si>
    <t xml:space="preserve">Abduction-travel alert</t>
  </si>
  <si>
    <t xml:space="preserve">Flags travel bookings in parental-abduction cases</t>
  </si>
  <si>
    <t xml:space="preserve">1) Trigger: parental-abduction risk case flagged
2) Perceive: agent watches travel bookings and border signals
3) Act: alerts authorities for lawful intervention steps
4) Outcome: abductions intercepted at airports, not embassies</t>
  </si>
  <si>
    <t xml:space="preserve">No flagging of travel bookings in parental-abduction cases.</t>
  </si>
  <si>
    <t xml:space="preserve">D11-14</t>
  </si>
  <si>
    <t xml:space="preserve">Baby-hatch protocol agent</t>
  </si>
  <si>
    <t xml:space="preserve">Instant response coordination for abandoned infants</t>
  </si>
  <si>
    <t xml:space="preserve">1) Trigger: abandoned-infant alert at facility
2) Perceive: agent activates baby-hatch protocol instantly
3) Act: coordinates medical, social and legal response
4) Outcome: newborn safety handled by rehearsed system</t>
  </si>
  <si>
    <t xml:space="preserve">Hospitals and police coordinate manually; an instant abandoned-infant protocol agent is missing.</t>
  </si>
  <si>
    <t xml:space="preserve">D11-15</t>
  </si>
  <si>
    <t xml:space="preserve">Vulnerability registry</t>
  </si>
  <si>
    <t xml:space="preserve">Opt-in special-needs registry for emergency context</t>
  </si>
  <si>
    <t xml:space="preserve">1) Trigger: family registers special-needs member
2) Perceive: agent stores consented emergency-relevant profile
3) Act: enriches responder context during any incident
4) Outcome: responders arrive knowing exactly who they are helping</t>
  </si>
  <si>
    <t xml:space="preserve">No opt-in special-needs registry giving responders context.</t>
  </si>
  <si>
    <t xml:space="preserve">D11-16</t>
  </si>
  <si>
    <t xml:space="preserve">Nanny-vetting advisor</t>
  </si>
  <si>
    <t xml:space="preserve">Safe-hiring guidance with verified-agency checks</t>
  </si>
  <si>
    <t xml:space="preserve">1) Trigger: parent seeks safe-hiring guidance
2) Perceive: agent explains vetting steps and red flags
3) Act: connects to verified agencies, logs concerns
4) Outcome: homes staffed with confidence</t>
  </si>
  <si>
    <t xml:space="preserve">Domestic-worker vetting runs through MOHRE; safe-hiring guidance with agency checks is absent.</t>
  </si>
  <si>
    <t xml:space="preserve">D11-17</t>
  </si>
  <si>
    <t xml:space="preserve">Men's support line agent</t>
  </si>
  <si>
    <t xml:space="preserve">Confidential support channel for male victims</t>
  </si>
  <si>
    <t xml:space="preserve">1) Trigger: male victim contacts support line
2) Perceive: agent provides confidential, stigma-free intake
3) Act: matches services, links specialist officer if wanted
4) Outcome: underserved victims finally heard</t>
  </si>
  <si>
    <t xml:space="preserve">No confidential support channel for male victims.</t>
  </si>
  <si>
    <t xml:space="preserve">D11-18</t>
  </si>
  <si>
    <t xml:space="preserve">Post-incident counselor</t>
  </si>
  <si>
    <t xml:space="preserve">Follow-up wellbeing check-ins for affected families</t>
  </si>
  <si>
    <t xml:space="preserve">1) Trigger: scheduled post-incident wellbeing cycle
2) Perceive: agent reviews family status and support uptake
3) Act: sends check-ins, books counselor follow-ups as needed
4) Outcome: recovery supported after cameras leave</t>
  </si>
  <si>
    <t xml:space="preserve">Counseling comes via partners; automated wellbeing follow-ups are absent.</t>
  </si>
  <si>
    <t xml:space="preserve">D11-19</t>
  </si>
  <si>
    <t xml:space="preserve">Youth mentor matcher</t>
  </si>
  <si>
    <t xml:space="preserve">Connects at-risk youth to Hemaya mentors</t>
  </si>
  <si>
    <t xml:space="preserve">1) Trigger: at-risk youth flagged by schools/police
2) Perceive: agent matches interests, needs and mentor profiles
3) Act: connects to Hemaya mentors, tracks engagement
4) Outcome: risk redirected into relationships</t>
  </si>
  <si>
    <t xml:space="preserve">Youth programs exist; mentor matching for at-risk youth is missing.</t>
  </si>
  <si>
    <t xml:space="preserve">D11-20</t>
  </si>
  <si>
    <t xml:space="preserve">Kids safety educator</t>
  </si>
  <si>
    <t xml:space="preserve">Interactive school-program content on safety basics</t>
  </si>
  <si>
    <t xml:space="preserve">1) Trigger: school safety-education calendar
2) Perceive: agent personalizes content by age and local risks
3) Act: delivers interactive modules, tracks learning outcomes
4) Outcome: safety literacy built from childhood up</t>
  </si>
  <si>
    <t xml:space="preserve">School safety programs exist; interactive education content is absent.</t>
  </si>
  <si>
    <t xml:space="preserve">D12-01</t>
  </si>
  <si>
    <t xml:space="preserve">Corrections &amp; Rehabilitation</t>
  </si>
  <si>
    <t xml:space="preserve">Intake classifier</t>
  </si>
  <si>
    <t xml:space="preserve">Risk and needs assessment drafts for human review</t>
  </si>
  <si>
    <t xml:space="preserve">1) Trigger: new inmate intake completed
2) Perceive: agent drafts risk/needs classification from records
3) Act: proposes housing, program and supervision levels
4) Outcome: officers decide from prepared, consistent assessments</t>
  </si>
  <si>
    <t xml:space="preserve">Specialists assess intakes; structured risk and needs drafts for review are absent.</t>
  </si>
  <si>
    <t xml:space="preserve">D12-02</t>
  </si>
  <si>
    <t xml:space="preserve">Visit scheduler</t>
  </si>
  <si>
    <t xml:space="preserve">Family and lawyer visits with security screening</t>
  </si>
  <si>
    <t xml:space="preserve">1) Trigger: family/lawyer requests visit
2) Perceive: agent validates eligibility, security status, slots
3) Act: books visits with screening instructions, sends passes
4) Outcome: visitation runs smooth and secure</t>
  </si>
  <si>
    <t xml:space="preserve">Visits are booked manually; security-screened self-serve booking is missing.</t>
  </si>
  <si>
    <t xml:space="preserve">D12-03</t>
  </si>
  <si>
    <t xml:space="preserve">Remote-hearing agent</t>
  </si>
  <si>
    <t xml:space="preserve">Coordinates court video links and case documents</t>
  </si>
  <si>
    <t xml:space="preserve">1) Trigger: court schedules remote hearing
2) Perceive: agent coordinates links, exhibits and participants
3) Act: runs tech checks, logs session to case file
4) Outcome: justice continues without transport risk</t>
  </si>
  <si>
    <t xml:space="preserve">Video hearings are used with the courts; coordinated document logistics are absent.</t>
  </si>
  <si>
    <t xml:space="preserve">D12-04</t>
  </si>
  <si>
    <t xml:space="preserve">Sentence calculator</t>
  </si>
  <si>
    <t xml:space="preserve">Transparent sentence and parole eligibility tracking</t>
  </si>
  <si>
    <t xml:space="preserve">1) Trigger: sentence milestone or review date
2) Perceive: agent computes custody credit and eligibility
3) Act: publishes transparent timeline to inmate and case teams
4) Outcome: expectations clear, disputes reduced</t>
  </si>
  <si>
    <t xml:space="preserve">Sentences live in systems; transparent eligibility and parole tracking is missing.</t>
  </si>
  <si>
    <t xml:space="preserve">D12-05</t>
  </si>
  <si>
    <t xml:space="preserve">Education matcher</t>
  </si>
  <si>
    <t xml:space="preserve">Inmate upskilling paths with certifying bodies</t>
  </si>
  <si>
    <t xml:space="preserve">1) Trigger: inmate education assessment
2) Perceive: agent maps skills, goals and certifying options
3) Act: recommends learning paths with recognized credentials
4) Outcome: time served becomes capability earned</t>
  </si>
  <si>
    <t xml:space="preserve">Education programs exist; certifying-body upskilling paths are absent.</t>
  </si>
  <si>
    <t xml:space="preserve">D12-06</t>
  </si>
  <si>
    <t xml:space="preserve">Vocational pipeline agent</t>
  </si>
  <si>
    <t xml:space="preserve">Links workshop skills to real employers</t>
  </si>
  <si>
    <t xml:space="preserve">1) Trigger: vocational workshop capacity update
2) Perceive: agent matches skills to employer demand pipelines
3) Act: manages placements, certifications and employer contacts
4) Outcome: workshop hours convert into real job offers</t>
  </si>
  <si>
    <t xml:space="preserve">Workshops operate; linkage of skills to real employers is missing.</t>
  </si>
  <si>
    <t xml:space="preserve">D12-07</t>
  </si>
  <si>
    <t xml:space="preserve">Reintegration planner</t>
  </si>
  <si>
    <t xml:space="preserve">Housing, job and mentor orchestration before release</t>
  </si>
  <si>
    <t xml:space="preserve">1) Trigger: release date enters 90-day window
2) Perceive: agent orchestrates housing, employment, mentor, docs
3) Act: builds reintegration plan with accountable owners
4) Outcome: release day starts a plan, not a cliff</t>
  </si>
  <si>
    <t xml:space="preserve">No pre-release orchestration of housing, job and mentor.</t>
  </si>
  <si>
    <t xml:space="preserve">D12-08</t>
  </si>
  <si>
    <t xml:space="preserve">Contraband-signal agent</t>
  </si>
  <si>
    <t xml:space="preserve">Call and visit pattern anomalies for human review</t>
  </si>
  <si>
    <t xml:space="preserve">1) Trigger: calls/visits data (lawfully) reviewed
2) Perceive: agent scores contraband-signal anomalies
3) Act: routes qualified flags for human investigation
4) Outcome: contraband pipelines disrupted lawfully</t>
  </si>
  <si>
    <t xml:space="preserve">Calls and visits are monitored lawfully and manually; anomaly flagging is absent.</t>
  </si>
  <si>
    <t xml:space="preserve">D12-09</t>
  </si>
  <si>
    <t xml:space="preserve">Health triage agent</t>
  </si>
  <si>
    <t xml:space="preserve">Complaints to clinic scheduling with urgent flags</t>
  </si>
  <si>
    <t xml:space="preserve">1) Trigger: inmate medical complaint logged
2) Perceive: agent triages urgency against history
3) Act: schedules clinic, flags emergencies immediately
4) Outcome: health needs met by clinical priority</t>
  </si>
  <si>
    <t xml:space="preserve">An on-site clinic exists; complaint-to-scheduling with urgent flags is missing.</t>
  </si>
  <si>
    <t xml:space="preserve">D12-10</t>
  </si>
  <si>
    <t xml:space="preserve">Suicide-watch sentinel</t>
  </si>
  <si>
    <t xml:space="preserve">Wellbeing indicators alert human watchers immediately</t>
  </si>
  <si>
    <t xml:space="preserve">1) Trigger: wellbeing monitoring indicators update
2) Perceive: agent scores suicide/self-harm risk signals
3) Act: alerts human watchers instantly with rationale
4) Outcome: no cry for help goes unread</t>
  </si>
  <si>
    <t xml:space="preserve">Human watchers provide observation; wellbeing-indicator alerting is absent.</t>
  </si>
  <si>
    <t xml:space="preserve">D12-11</t>
  </si>
  <si>
    <t xml:space="preserve">Rehab-program matcher</t>
  </si>
  <si>
    <t xml:space="preserve">Addiction program matching and progress tracking</t>
  </si>
  <si>
    <t xml:space="preserve">1) Trigger: addiction-treatment referral
2) Perceive: agent matches program type, intensity and language
3) Act: books intake, tracks milestones and relapse support
4) Outcome: rehab treated as case management, not paperwork</t>
  </si>
  <si>
    <t xml:space="preserve">Addiction programs exist; matching and progress tracking are not digitized.</t>
  </si>
  <si>
    <t xml:space="preserve">D12-12</t>
  </si>
  <si>
    <t xml:space="preserve">Bracelet-monitor agent</t>
  </si>
  <si>
    <t xml:space="preserve">E-tag violation triage and response dispatch</t>
  </si>
  <si>
    <t xml:space="preserve">1) Trigger: bracelet telemetry updates
2) Perceive: agent scores violation signals - tamper, zone, battery
3) Act: dispatches response tiers, logs for court
4) Outcome: community sentences enforced reliably</t>
  </si>
  <si>
    <t xml:space="preserve">Electronic tagging is in use; violation triage with response dispatch is absent.</t>
  </si>
  <si>
    <t xml:space="preserve">D12-13</t>
  </si>
  <si>
    <t xml:space="preserve">Community-service placer</t>
  </si>
  <si>
    <t xml:space="preserve">Matches offenders to NGO and community work</t>
  </si>
  <si>
    <t xml:space="preserve">1) Trigger: community-service sentence issued
2) Perceive: agent matches skills/location to NGO needs
3) Act: manages placement, hours and completion records
4) Outcome: sentences repay community in kind</t>
  </si>
  <si>
    <t xml:space="preserve">Community service is ordered; NGO and placement matching is manual.</t>
  </si>
  <si>
    <t xml:space="preserve">D12-14</t>
  </si>
  <si>
    <t xml:space="preserve">Fine-installer agent</t>
  </si>
  <si>
    <t xml:space="preserve">Installment plans as an alternative to jail for debt cases</t>
  </si>
  <si>
    <t xml:space="preserve">1) Trigger: debt-based sentence eligible for alternative
2) Perceive: agent computes fair installment capacity
3) Act: manages agreements, payments and compliance
4) Outcome: people pay debts instead of sitting in cells</t>
  </si>
  <si>
    <t xml:space="preserve">Fine installments exist in payment services; jail-alternative installment orchestration is missing.</t>
  </si>
  <si>
    <t xml:space="preserve">D12-15</t>
  </si>
  <si>
    <t xml:space="preserve">Juvenile-diversion agent</t>
  </si>
  <si>
    <t xml:space="preserve">Education-first pathways instead of prosecution</t>
  </si>
  <si>
    <t xml:space="preserve">1) Trigger: juvenile offense intake
2) Perceive: agent assesses diversion eligibility and needs
3) Act: builds education-first pathway with guardians
4) Outcome: young mistakes answered with futures</t>
  </si>
  <si>
    <t xml:space="preserve">A juvenile care system exists; education-first diversion pathways are not orchestrated.</t>
  </si>
  <si>
    <t xml:space="preserve">D12-16</t>
  </si>
  <si>
    <t xml:space="preserve">Family-contact agent</t>
  </si>
  <si>
    <t xml:space="preserve">Video-call bookings with translation support</t>
  </si>
  <si>
    <t xml:space="preserve">1) Trigger: family requests inmate contact
2) Perceive: agent validates relationship and schedule
3) Act: books video calls with translation support
4) Outcome: family bonds survive the sentence</t>
  </si>
  <si>
    <t xml:space="preserve">Family contact is scheduled manually; translation support is absent.</t>
  </si>
  <si>
    <t xml:space="preserve">D12-17</t>
  </si>
  <si>
    <t xml:space="preserve">Legal-aid matcher</t>
  </si>
  <si>
    <t xml:space="preserve">Pro bono lawyer matching by case type</t>
  </si>
  <si>
    <t xml:space="preserve">1) Trigger: inmate requests legal representation
2) Perceive: agent matches case type to pro bono lawyers
3) Act: coordinates introductions and document access
4) Outcome: defense available regardless of means</t>
  </si>
  <si>
    <t xml:space="preserve">No pro bono lawyer matching by case type.</t>
  </si>
  <si>
    <t xml:space="preserve">D12-18</t>
  </si>
  <si>
    <t xml:space="preserve">Post-release pipeline</t>
  </si>
  <si>
    <t xml:space="preserve">Employment pipeline with employer partners</t>
  </si>
  <si>
    <t xml:space="preserve">1) Trigger: release plan reaches employment phase
2) Perceive: agent matches skills to partner-employer openings
3) Act: manages applications, interviews, onboarding support
4) Outcome: second chances become employment contracts</t>
  </si>
  <si>
    <t xml:space="preserve">No employer-partnered post-release employment pipeline.</t>
  </si>
  <si>
    <t xml:space="preserve">D12-19</t>
  </si>
  <si>
    <t xml:space="preserve">Recidivism sentinel</t>
  </si>
  <si>
    <t xml:space="preserve">Community-corrections early-warning indicators</t>
  </si>
  <si>
    <t xml:space="preserve">1) Trigger: community-corrections case data updates
2) Perceive: agent scores recidivism early-warning indicators
3) Act: alerts supervisors for preventive support visits
4) Outcome: intervention before relapse, not after</t>
  </si>
  <si>
    <t xml:space="preserve">No early-warning indicators for community corrections.</t>
  </si>
  <si>
    <t xml:space="preserve">D12-20</t>
  </si>
  <si>
    <t xml:space="preserve">Hearing interpreter agent</t>
  </si>
  <si>
    <t xml:space="preserve">50+ language support for hearings and interviews</t>
  </si>
  <si>
    <t xml:space="preserve">1) Trigger: hearing/interview scheduled
2) Perceive: agent detects language needs of participants
3) Act: provides live interpretation support with transcript
4) Outcome: language never decides justice</t>
  </si>
  <si>
    <t xml:space="preserve">Interpreters are booked per session; on-demand 50-plus language AI support is absent.</t>
  </si>
  <si>
    <t xml:space="preserve">D13-01</t>
  </si>
  <si>
    <t xml:space="preserve">Major Events &amp; VIP Protection</t>
  </si>
  <si>
    <t xml:space="preserve">Event risk profiler</t>
  </si>
  <si>
    <t xml:space="preserve">Auto-drafts security plans from event metadata</t>
  </si>
  <si>
    <t xml:space="preserve">1) Trigger: organizer submits event details
2) Perceive: agent parses scale, profile, venue and history
3) Act: auto-drafts security plan with staffing and control points
4) Outcome: plans start at 80% complete, reviewed by experts</t>
  </si>
  <si>
    <t xml:space="preserve">Security plans are drafted by committees; metadata-driven auto-drafts are absent.</t>
  </si>
  <si>
    <t xml:space="preserve">D13-02</t>
  </si>
  <si>
    <t xml:space="preserve">Crowd-flow simulator</t>
  </si>
  <si>
    <t xml:space="preserve">Entry and exit modeling with egress warnings</t>
  </si>
  <si>
    <t xml:space="preserve">1) Trigger: event plan finalized
2) Perceive: agent simulates entry/exit flows under scenarios
3) Act: flags chokepoints, recommends gate and egress changes
4) Outcome: crowd design fixed on screen, not in the crush</t>
  </si>
  <si>
    <t xml:space="preserve">Crowd planning is manual; entry and exit modeling with egress warnings is missing.</t>
  </si>
  <si>
    <t xml:space="preserve">D13-03</t>
  </si>
  <si>
    <t xml:space="preserve">VIP route planner</t>
  </si>
  <si>
    <t xml:space="preserve">Traffic plus threat overlay for secure routes</t>
  </si>
  <si>
    <r>
      <rPr>
        <sz val="11"/>
        <color rgb="FF37352F"/>
        <rFont val="Noto Sans CJK SC"/>
        <family val="0"/>
        <charset val="1"/>
      </rPr>
      <t xml:space="preserve">1) Trigger: VIP movement scheduled
2) Perceive: agent overlays traffic, threats and</t>
    </r>
    <r>
      <rPr>
        <sz val="11"/>
        <color rgb="FF37352F"/>
        <rFont val="WenQuanYi Zen Hei"/>
        <family val="2"/>
        <charset val="1"/>
      </rPr>
      <t xml:space="preserve">历史上的 </t>
    </r>
    <r>
      <rPr>
        <sz val="11"/>
        <color rgb="FF37352F"/>
        <rFont val="Noto Sans CJK SC"/>
        <family val="0"/>
        <charset val="1"/>
      </rPr>
      <t xml:space="preserve">route risks
3) Act: plans primary/alternate routes with timing and comms
4) Outcome: movements executed with rehearsed precision</t>
    </r>
  </si>
  <si>
    <t xml:space="preserve">VIP routes are planned manually; a traffic-plus-threat overlay is absent.</t>
  </si>
  <si>
    <t xml:space="preserve">D13-04</t>
  </si>
  <si>
    <t xml:space="preserve">Anti-drone shield</t>
  </si>
  <si>
    <t xml:space="preserve">Detects and neutralizes unauthorized drones over events</t>
  </si>
  <si>
    <t xml:space="preserve">1) Trigger: event airspace protection activated
2) Perceive: agent tracks drone signals over protected zones
3) Act: triggers detection-to-neutralization protocol
4) Outcome: skies over crowds stay clean</t>
  </si>
  <si>
    <t xml:space="preserve">Counter-drone capability is announced; an event-scope detection-to-neutralization workflow is not public.</t>
  </si>
  <si>
    <t xml:space="preserve">D13-05</t>
  </si>
  <si>
    <t xml:space="preserve">Tout monitor</t>
  </si>
  <si>
    <t xml:space="preserve">Scalper and tout detection across resale platforms</t>
  </si>
  <si>
    <t xml:space="preserve">1) Trigger: ticket resale monitoring cycle
2) Perceive: agent detects scalper patterns and fake listings
3) Act: flags mass accounts, advises enforcement/consumer warnings
4) Outcome: fans pay fair prices, fakes die early</t>
  </si>
  <si>
    <t xml:space="preserve">No scalper and tout detection across resale platforms.</t>
  </si>
  <si>
    <t xml:space="preserve">D13-06</t>
  </si>
  <si>
    <t xml:space="preserve">Credential-fraud agent</t>
  </si>
  <si>
    <t xml:space="preserve">Fake staff-pass detection at venue gates</t>
  </si>
  <si>
    <t xml:space="preserve">1) Trigger: staff credentials issued for event
2) Perceive: agent cross-checks passes against vetting records
3) Act: detects duplicates/fakes at gates with instant alerts
4) Outcome: only vetted people behind the scenes</t>
  </si>
  <si>
    <t xml:space="preserve">Staff passes are checked manually; fake-credential detection is absent.</t>
  </si>
  <si>
    <t xml:space="preserve">D13-07</t>
  </si>
  <si>
    <t xml:space="preserve">Chatter monitor</t>
  </si>
  <si>
    <t xml:space="preserve">Pre-event threat scanning of open sources</t>
  </si>
  <si>
    <t xml:space="preserve">1) Trigger: pre-event threat monitoring window opens
2) Perceive: agent scans open sources for threats and chatter
3) Act: scores signals, escalates credible ones with evidence
4) Outcome: surprises surface before they happen</t>
  </si>
  <si>
    <t xml:space="preserve">Threat assessment units exist; continuous open-source pre-event scanning is missing.</t>
  </si>
  <si>
    <t xml:space="preserve">D13-08</t>
  </si>
  <si>
    <t xml:space="preserve">Mega lost-child desk</t>
  </si>
  <si>
    <t xml:space="preserve">Reunification operations at 100k+ visitor events</t>
  </si>
  <si>
    <t xml:space="preserve">1) Trigger: lost-child report at mega event
2) Perceive: agent fuses description, photo and last-seen point
3) Act: runs reunification grid with venue screens and units
4) Outcome: 100k-crowd reunions measured in minutes</t>
  </si>
  <si>
    <t xml:space="preserve">Event lost-child procedures exist; an AI reunification desk at 100k-plus-visitor events is absent.</t>
  </si>
  <si>
    <t xml:space="preserve">D13-09</t>
  </si>
  <si>
    <t xml:space="preserve">Egress decision support</t>
  </si>
  <si>
    <t xml:space="preserve">Live recommendations during evacuations</t>
  </si>
  <si>
    <t xml:space="preserve">1) Trigger: evacuation decision under consideration
2) Perceive: agent models egress options against live flows
3) Act: recommends timing, routes and messaging to commander
4) Outcome: the hardest call supported by the best data</t>
  </si>
  <si>
    <t xml:space="preserve">No live recommendations during evacuations.</t>
  </si>
  <si>
    <t xml:space="preserve">D13-10</t>
  </si>
  <si>
    <t xml:space="preserve">Unified SITREP agent</t>
  </si>
  <si>
    <t xml:space="preserve">Multi-agency briefs every 30 minutes during events</t>
  </si>
  <si>
    <t xml:space="preserve">1) Trigger: event in progress, 30-min cycle
2) Perceive: agent merges all-agency feeds into one picture
3) Act: drafts unified SITREP for all commanders
4) Outcome: every agency reads the same page, on time</t>
  </si>
  <si>
    <t xml:space="preserve">Event SIREPs are written manually; auto multi-agency briefs every 30 minutes are absent.</t>
  </si>
  <si>
    <t xml:space="preserve">D13-11</t>
  </si>
  <si>
    <t xml:space="preserve">Staff-vetting pipeline</t>
  </si>
  <si>
    <t xml:space="preserve">Background checks for event staff at scale</t>
  </si>
  <si>
    <t xml:space="preserve">1) Trigger: event staff hiring wave
2) Perceive: agent pipelines background checks at scale
3) Act: clears, flags or rejects with auditable reasons
4) Outcome: 5,000 staff vetted before doors open</t>
  </si>
  <si>
    <t xml:space="preserve">Vetting happens; an at-scale background-check pipeline is missing.</t>
  </si>
  <si>
    <t xml:space="preserve">D13-12</t>
  </si>
  <si>
    <t xml:space="preserve">Pyro-compliance agent</t>
  </si>
  <si>
    <t xml:space="preserve">Fireworks safety checks and permit workflows</t>
  </si>
  <si>
    <t xml:space="preserve">1) Trigger: pyrotechnics permit application
2) Perceive: agent checks safety distances, storage and operators
3) Act: approves with conditions or rejects with reasons
4) Outcome: fireworks thrill without fire calls</t>
  </si>
  <si>
    <t xml:space="preserve">Fireworks permits are manual; safety checks and permit workflows are not digitized.</t>
  </si>
  <si>
    <t xml:space="preserve">D13-13</t>
  </si>
  <si>
    <t xml:space="preserve">Medical-surge predictor</t>
  </si>
  <si>
    <t xml:space="preserve">Posts staffing by weather and crowd forecasts</t>
  </si>
  <si>
    <t xml:space="preserve">1) Trigger: event-day weather/crowd forecast update
2) Perceive: agent models medical demand by hour and zone
3) Act: recommends post staffing and equipment staging
4) Outcome: medics positioned where casualties would occur</t>
  </si>
  <si>
    <t xml:space="preserve">Medical posts are staffed by rule; forecast-driven staffing is absent.</t>
  </si>
  <si>
    <t xml:space="preserve">D13-14</t>
  </si>
  <si>
    <t xml:space="preserve">Dispersal traffic agent</t>
  </si>
  <si>
    <t xml:space="preserve">After-event exit orchestration with RTA</t>
  </si>
  <si>
    <t xml:space="preserve">1) Trigger: event end-time approaches
2) Perceive: agent predicts dispersal volumes by exit
3) Act: orchestrates RTA signals, shuttles and advisories
4) Outcome: 60,000 people home without gridlock</t>
  </si>
  <si>
    <t xml:space="preserve">RTA coordinates exits; after-event traffic orchestration is not automated.</t>
  </si>
  <si>
    <t xml:space="preserve">D13-15</t>
  </si>
  <si>
    <t xml:space="preserve">Assembly facilitator</t>
  </si>
  <si>
    <t xml:space="preserve">Permitted-assembly route planning and coordination</t>
  </si>
  <si>
    <t xml:space="preserve">1) Trigger: assembly permit granted
2) Perceive: agent plans route, buffers and services
3) Act: coordinates marshals, signage and live monitoring
4) Outcome: lawful assembly facilitated with dignity</t>
  </si>
  <si>
    <t xml:space="preserve">No permitted-assembly route planning and coordination service.</t>
  </si>
  <si>
    <t xml:space="preserve">D13-16</t>
  </si>
  <si>
    <t xml:space="preserve">Residence security agent</t>
  </si>
  <si>
    <t xml:space="preserve">VIP-residence check scheduling and audits</t>
  </si>
  <si>
    <t xml:space="preserve">1) Trigger: VIP residence security cycle
2) Perceive: agent audits checks, sensors and staff vetting
3) Act: schedules inspections, tracks remediation
4) Outcome: residences protected by routine, not memory</t>
  </si>
  <si>
    <t xml:space="preserve">VIP-residence security is manual; check scheduling and audits are not systematized.</t>
  </si>
  <si>
    <t xml:space="preserve">D13-17</t>
  </si>
  <si>
    <t xml:space="preserve">Motorcade guardian</t>
  </si>
  <si>
    <t xml:space="preserve">Live disruption monitoring along secure routes</t>
  </si>
  <si>
    <t xml:space="preserve">1) Trigger: motorcade route active
2) Perceive: agent monitors intersections and overpasses live
3) Act: alerts on disruptions, offers reroute options
4) Outcome: routes adjusted mid-drive, not after incident</t>
  </si>
  <si>
    <t xml:space="preserve">Motorcades are escorted; live disruption monitoring along routes is absent.</t>
  </si>
  <si>
    <t xml:space="preserve">D13-18</t>
  </si>
  <si>
    <t xml:space="preserve">Fan-zone governor</t>
  </si>
  <si>
    <t xml:space="preserve">Capacity control with staggered entry</t>
  </si>
  <si>
    <t xml:space="preserve">1) Trigger: fan-zone occupancy trends
2) Perceive: agent forecasts capacity breaches 20 minutes out
3) Act: triggers staggered entry and overflow routing
4) Outcome: excitement never becomes a crush</t>
  </si>
  <si>
    <t xml:space="preserve">Fan zones are managed; automated capacity control with staggered entry is missing.</t>
  </si>
  <si>
    <t xml:space="preserve">D13-19</t>
  </si>
  <si>
    <t xml:space="preserve">Protocol liaison agent</t>
  </si>
  <si>
    <t xml:space="preserve">Delegation arrival coordination and clearances</t>
  </si>
  <si>
    <t xml:space="preserve">1) Trigger: delegation visit announced
2) Perceive: agent parses protocol requirements and clearances
3) Act: coordinates agencies, timings and documentation
4) Outcome: state visits run on checklists, not heroics</t>
  </si>
  <si>
    <t xml:space="preserve">Delegation coordination is manual; clearances workflow is absent.</t>
  </si>
  <si>
    <t xml:space="preserve">D13-20</t>
  </si>
  <si>
    <t xml:space="preserve">After-action writer</t>
  </si>
  <si>
    <t xml:space="preserve">Auto-compiles lessons-learned reports</t>
  </si>
  <si>
    <t xml:space="preserve">1) Trigger: event concludes
2) Perceive: agent aggregates incidents, timings and decisions
3) Act: drafts after-action report with lessons and owners
4) Outcome: every event makes the next one safer</t>
  </si>
  <si>
    <t xml:space="preserve">Lessons-learned reports are compiled by hand.</t>
  </si>
  <si>
    <t xml:space="preserve">D14-01</t>
  </si>
  <si>
    <t xml:space="preserve">Internal Operations &amp; Support</t>
  </si>
  <si>
    <t xml:space="preserve">Roster optimizer</t>
  </si>
  <si>
    <t xml:space="preserve">Fatigue-aware shift scheduling across units</t>
  </si>
  <si>
    <t xml:space="preserve">1) Trigger: roster planning cycle opens
2) Perceive: agent reads skills, fatigue hours, court dates, leave
3) Act: drafts fair schedules; officers swap via rules
4) Outcome: shifts built for humans and operations alike</t>
  </si>
  <si>
    <t xml:space="preserve">Rosters are built in workforce systems; fatigue-aware optimization is absent.</t>
  </si>
  <si>
    <t xml:space="preserve">D14-02</t>
  </si>
  <si>
    <t xml:space="preserve">Recruitment screener</t>
  </si>
  <si>
    <t xml:space="preserve">Application triage with structured scoring</t>
  </si>
  <si>
    <t xml:space="preserve">1) Trigger: application batch arrives
2) Perceive: agent screens against structured criteria
3) Act: ranks candidates with reasons, drafts interview guides
4) Outcome: recruiters start with signal, not stacks</t>
  </si>
  <si>
    <t xml:space="preserve">Applications are reviewed by staff; structured AI triage and scoring are missing.</t>
  </si>
  <si>
    <t xml:space="preserve">D14-03</t>
  </si>
  <si>
    <t xml:space="preserve">Training recommender</t>
  </si>
  <si>
    <t xml:space="preserve">Per-officer skill-gap learning paths</t>
  </si>
  <si>
    <t xml:space="preserve">1) Trigger: officer development review
2) Perceive: agent maps skill gaps vs role requirements
3) Act: recommends courses and career paths per officer
4) Outcome: training budget lands where growth is real</t>
  </si>
  <si>
    <t xml:space="preserve">A training catalog exists; per-officer skill-gap learning paths are absent.</t>
  </si>
  <si>
    <t xml:space="preserve">D14-04</t>
  </si>
  <si>
    <t xml:space="preserve">Fleet-health agent</t>
  </si>
  <si>
    <t xml:space="preserve">Patrol vehicle predictive maintenance</t>
  </si>
  <si>
    <t xml:space="preserve">1) Trigger: vehicle telemetry syncs
2) Perceive: agent predicts failures from usage and fault codes
3) Act: schedules preventive maintenance, protects availability
4) Outcome: patrol cars break down in the garage, not on calls</t>
  </si>
  <si>
    <t xml:space="preserve">Maintenance follows fixed schedules; predictive maintenance for patrol vehicles is missing.</t>
  </si>
  <si>
    <t xml:space="preserve">D14-05</t>
  </si>
  <si>
    <t xml:space="preserve">Media-cost optimizer</t>
  </si>
  <si>
    <t xml:space="preserve">Bodycam storage tiering and retention policy</t>
  </si>
  <si>
    <t xml:space="preserve">1) Trigger: bodycam storage growth review
2) Perceive: agent tiers footage by case relevance and law
3) Act: automates retention, cuts cost with full compliance
4) Outcome: evidence kept forever, junk never stored</t>
  </si>
  <si>
    <t xml:space="preserve">Bodycam storage grows unmanaged; tiering and retention automation is absent.</t>
  </si>
  <si>
    <t xml:space="preserve">D14-06</t>
  </si>
  <si>
    <t xml:space="preserve">Armory sentinel</t>
  </si>
  <si>
    <t xml:space="preserve">Weapon and ammunition inventory integrity checks</t>
  </si>
  <si>
    <t xml:space="preserve">1) Trigger: armory transaction logged
2) Perceive: agent verifies inventory integrity continuously
3) Act: flags anomalies instantly for security review
4) Outcome: zero-tolerance custody of weapons</t>
  </si>
  <si>
    <t xml:space="preserve">Armory logs are manual; automated inventory integrity checks are missing.</t>
  </si>
  <si>
    <t xml:space="preserve">D14-07</t>
  </si>
  <si>
    <t xml:space="preserve">K9-welfare agent</t>
  </si>
  <si>
    <t xml:space="preserve">Health and deployment balance for K9 teams</t>
  </si>
  <si>
    <t xml:space="preserve">1) Trigger: K9 health/deployment data updates
2) Perceive: agent balances workload, vet schedules, rest
3) Act: recommends deployments and care interventions
4) Outcome: four-legged officers stay effective and healthy</t>
  </si>
  <si>
    <t xml:space="preserve">K9 teams are well managed; health and deployment-balance tracking is absent.</t>
  </si>
  <si>
    <t xml:space="preserve">D14-08</t>
  </si>
  <si>
    <t xml:space="preserve">Mounted-unit tracker</t>
  </si>
  <si>
    <t xml:space="preserve">Horse welfare, vetting and duty logs</t>
  </si>
  <si>
    <t xml:space="preserve">1) Trigger: mounted-unit duty logs update
2) Perceive: agent tracks horse welfare, vetting, shoeing
3) Act: schedules care, balances public-event duties
4) Outcome: mounted tradition sustained responsibly</t>
  </si>
  <si>
    <t xml:space="preserve">Stable records are paper-based; welfare, vetting and duty logs are not digitized.</t>
  </si>
  <si>
    <t xml:space="preserve">D14-09</t>
  </si>
  <si>
    <t xml:space="preserve">Marine readiness agent</t>
  </si>
  <si>
    <t xml:space="preserve">Vessel maintenance and crew certification tracking</t>
  </si>
  <si>
    <t xml:space="preserve">1) Trigger: marine unit status reports
2) Perceive: agent tracks vessel maintenance and certifications
3) Act: schedules yard time without coverage gaps
4) Outcome: boats ready when the sea calls</t>
  </si>
  <si>
    <t xml:space="preserve">Vessel maintenance is tracked; crew certification linkage is missing.</t>
  </si>
  <si>
    <t xml:space="preserve">D14-10</t>
  </si>
  <si>
    <t xml:space="preserve">Heli-maintenance agent</t>
  </si>
  <si>
    <t xml:space="preserve">Air-wing maintenance and flight-hour tracking</t>
  </si>
  <si>
    <t xml:space="preserve">1) Trigger: air-wing flight logs sync
2) Perceive: agent tracks hours, parts and maintenance limits
3) Act: schedules maintenance, keeps aircraft airworthy
4) Outcome: the air wing never grounded by surprise</t>
  </si>
  <si>
    <t xml:space="preserve">Air-wing systems track maintenance; flight-hour analytics are partial.</t>
  </si>
  <si>
    <t xml:space="preserve">D14-11</t>
  </si>
  <si>
    <t xml:space="preserve">Payroll anomaly agent</t>
  </si>
  <si>
    <t xml:space="preserve">Overtime anomaly and error detection</t>
  </si>
  <si>
    <t xml:space="preserve">1) Trigger: payroll cycle processing
2) Perceive: agent detects overtime anomalies and errors
3) Act: flags for audit with evidence trails
4) Outcome: payroll clean and defensible</t>
  </si>
  <si>
    <t xml:space="preserve">Payroll systems exist; overtime anomaly and error detection is absent.</t>
  </si>
  <si>
    <t xml:space="preserve">D14-12</t>
  </si>
  <si>
    <t xml:space="preserve">Ethics intake agent</t>
  </si>
  <si>
    <t xml:space="preserve">Confidential internal complaints channel</t>
  </si>
  <si>
    <t xml:space="preserve">1) Trigger: officer submits confidential concern
2) Perceive: agent triages safely, protects reporter identity
3) Act: routes to oversight with tracking and outcomes
4) Outcome: integrity channels people actually trust</t>
  </si>
  <si>
    <t xml:space="preserve">Internal complaint channels exist; confidential intake with tracking is missing.</t>
  </si>
  <si>
    <t xml:space="preserve">D14-13</t>
  </si>
  <si>
    <t xml:space="preserve">Promotion-prep agent</t>
  </si>
  <si>
    <t xml:space="preserve">Board records compilation and eligibility checks</t>
  </si>
  <si>
    <t xml:space="preserve">1) Trigger: promotion board cycle
2) Perceive: agent compiles records, courses, eligibility
3) Act: prepares standardized board packs
4) Outcome: promotions decided on complete, fair files</t>
  </si>
  <si>
    <t xml:space="preserve">Boards compile records manually; eligibility checks are not automated.</t>
  </si>
  <si>
    <t xml:space="preserve">D14-14</t>
  </si>
  <si>
    <t xml:space="preserve">Officer-welfare agent</t>
  </si>
  <si>
    <t xml:space="preserve">Housing and welfare request tracking</t>
  </si>
  <si>
    <t xml:space="preserve">1) Trigger: officer welfare request submitted
2) Perceive: agent classifies need - housing, health, family
3) Act: tracks to resolution with welfare officers
4) Outcome: those who serve get served back</t>
  </si>
  <si>
    <t xml:space="preserve">The welfare department handles requests; tracking automation is absent.</t>
  </si>
  <si>
    <t xml:space="preserve">D14-15</t>
  </si>
  <si>
    <t xml:space="preserve">Translator agent</t>
  </si>
  <si>
    <t xml:space="preserve">Internal documents across 50+ languages</t>
  </si>
  <si>
    <t xml:space="preserve">1) Trigger: multilingual document load arrives
2) Perceive: agent translates with legal/police terminology
3) Act: returns formatted drafts for human review
4) Outcome: 50+ languages handled in-hours</t>
  </si>
  <si>
    <t xml:space="preserve">Translation staff handle documents; 50-plus language AI translation is missing.</t>
  </si>
  <si>
    <t xml:space="preserve">D14-16</t>
  </si>
  <si>
    <t xml:space="preserve">SOP copilot</t>
  </si>
  <si>
    <t xml:space="preserve">Ask-any-question policy and procedures assistant</t>
  </si>
  <si>
    <t xml:space="preserve">1) Trigger: officer asks policy/procedure question
2) Perceive: agent searches SOPs, circulars and precedents
3) Act: answers with citations and confidence flags
4) Outcome: right procedure recalled at the right moment</t>
  </si>
  <si>
    <t xml:space="preserve">SOPs sit on the intranet; an ask-any-question copilot is absent.</t>
  </si>
  <si>
    <t xml:space="preserve">D14-17</t>
  </si>
  <si>
    <t xml:space="preserve">Spend analyzer</t>
  </si>
  <si>
    <t xml:space="preserve">Procurement pattern and savings detection</t>
  </si>
  <si>
    <t xml:space="preserve">1) Trigger: procurement data updates
2) Perceive: agent detects patterns, price drift, consolidation chances
3) Act: drafts savings recommendations
4) Outcome: budget leak plugged by analytics</t>
  </si>
  <si>
    <t xml:space="preserve">Procurement systems exist; pattern and savings detection is missing.</t>
  </si>
  <si>
    <t xml:space="preserve">D14-18</t>
  </si>
  <si>
    <t xml:space="preserve">Fitness nudger</t>
  </si>
  <si>
    <t xml:space="preserve">Health-KPI reminders and program matching</t>
  </si>
  <si>
    <t xml:space="preserve">1) Trigger: officer health KPI review
2) Perceive: agent tracks fitness and readiness trends
3) Act: nudges programs, books sessions, respects privacy
4) Outcome: a fitter force without surveillance creep</t>
  </si>
  <si>
    <t xml:space="preserve">Fitness requirements exist; KPI reminders and program matching are absent.</t>
  </si>
  <si>
    <t xml:space="preserve">D14-19</t>
  </si>
  <si>
    <t xml:space="preserve">Shift-swap agent</t>
  </si>
  <si>
    <t xml:space="preserve">Rule-based auto-approved peer shift swaps</t>
  </si>
  <si>
    <t xml:space="preserve">1) Trigger: shift-swap request submitted
2) Perceive: agent checks rules - rest, skills, fairness
3) Act: auto-approves valid swaps, updates rosters live
4) Outcome: flexibility without chaos</t>
  </si>
  <si>
    <t xml:space="preserve">Supervisors approve swaps manually; rule-based auto-approval is missing.</t>
  </si>
  <si>
    <t xml:space="preserve">D14-20</t>
  </si>
  <si>
    <t xml:space="preserve">Commander daily brief</t>
  </si>
  <si>
    <t xml:space="preserve">KPIs, incidents and risks each morning</t>
  </si>
  <si>
    <t xml:space="preserve">1) Trigger: 06:00 daily command cycle
2) Perceive: agent assembles KPIs, incidents, risks, open decisions
3) Act: drafts one-screen commander brief
4) Outcome: leadership starts aligned every morning</t>
  </si>
  <si>
    <t xml:space="preserve">Staff compile morning briefs; auto KPI, incident and risk briefs are absent.</t>
  </si>
  <si>
    <t xml:space="preserve">D15-01</t>
  </si>
  <si>
    <t xml:space="preserve">Intelligence, Prediction &amp; Command (2040)</t>
  </si>
  <si>
    <t xml:space="preserve">City-risk thermostat</t>
  </si>
  <si>
    <t xml:space="preserve">Daily threat-index map across districts</t>
  </si>
  <si>
    <t xml:space="preserve">1) Trigger: daily city-risk cycle
2) Perceive: agent merges incident, intel and event data by district
3) Act: publishes threat-index map with driver explanations
4) Outcome: whole command sees the city's temperature daily</t>
  </si>
  <si>
    <t xml:space="preserve">Oyoon predictive analytics exist; a daily cross-district threat-index map is absent.</t>
  </si>
  <si>
    <t xml:space="preserve">D15-02</t>
  </si>
  <si>
    <t xml:space="preserve">Predictive-patrol advisor</t>
  </si>
  <si>
    <t xml:space="preserve">Hotspot recommendations with bias audits</t>
  </si>
  <si>
    <t xml:space="preserve">1) Trigger: patrol planning session
2) Perceive: agent scores grid cells by risk with bias audits
3) Act: recommends patrol allocation with transparent logic
4) Outcome: prediction accountable, prevention effective</t>
  </si>
  <si>
    <t xml:space="preserve">Predictive policing runs in Oyoon; patrol recommendations with bias audits are missing.</t>
  </si>
  <si>
    <t xml:space="preserve">D15-03</t>
  </si>
  <si>
    <t xml:space="preserve">Seasonal forecaster</t>
  </si>
  <si>
    <t xml:space="preserve">Ramadan, NYE and summer crime pattern forecasts</t>
  </si>
  <si>
    <t xml:space="preserve">1) Trigger: seasonal planning horizon
2) Perceive: agent models historical Ramadan/NYE/summer patterns
3) Act: forecasts demand by district and day
4) Outcome: seasons staffed before they arrive</t>
  </si>
  <si>
    <t xml:space="preserve">Planning leans on experience; Ramadan, NYE and summer crime forecasting is absent.</t>
  </si>
  <si>
    <t xml:space="preserve">D15-04</t>
  </si>
  <si>
    <t xml:space="preserve">New-crime detector</t>
  </si>
  <si>
    <t xml:space="preserve">Anomaly alerts when new crime types emerge</t>
  </si>
  <si>
    <t xml:space="preserve">1) Trigger: continuous report-stream monitoring
2) Perceive: agent detects anomalous new crime-type clusters
3) Act: alerts analysts with sample cases and hypotheses
4) Outcome: new threats named within days, not years</t>
  </si>
  <si>
    <t xml:space="preserve">No anomaly alerts when new crime types emerge.</t>
  </si>
  <si>
    <t xml:space="preserve">D15-05</t>
  </si>
  <si>
    <t xml:space="preserve">Fusion analyst</t>
  </si>
  <si>
    <t xml:space="preserve">Cross-entity intelligence merging and de-duplication</t>
  </si>
  <si>
    <t xml:space="preserve">1) Trigger: multi-agency intel feeds update
2) Perceive: agent merges, de-duplicates and entities across sources
3) Act: surfaces fusion insights no single agency could see
4) Outcome: one city, one intelligence picture</t>
  </si>
  <si>
    <t xml:space="preserve">Multi-agency fusion is ad hoc; automated merging and de-duplication are missing.</t>
  </si>
  <si>
    <t xml:space="preserve">D15-06</t>
  </si>
  <si>
    <t xml:space="preserve">OSINT monitor</t>
  </si>
  <si>
    <t xml:space="preserve">Open-source monitoring for emerging city risks</t>
  </si>
  <si>
    <t xml:space="preserve">1) Trigger: OSINT monitoring cycle
2) Perceive: agent scans open sources for emerging city risks
3) Act: distills to scored, sourced analyst notes
4) Outcome: the open web becomes early warning</t>
  </si>
  <si>
    <t xml:space="preserve">Open-source teams exist; continuous emerging-risk monitoring is absent.</t>
  </si>
  <si>
    <t xml:space="preserve">D15-07</t>
  </si>
  <si>
    <t xml:space="preserve">Trust tracker</t>
  </si>
  <si>
    <t xml:space="preserve">Community sentiment and trust metrics</t>
  </si>
  <si>
    <t xml:space="preserve">1) Trigger: monthly community-survey and social cycle
2) Perceive: agent measures trust and sentiment by area
3) Act: flags confidence dips with likely causes
4) Outcome: policing legitimacy tracked like a KPI</t>
  </si>
  <si>
    <t xml:space="preserve">Trust is measured by periodic surveys; continuous sentiment metrics are missing.</t>
  </si>
  <si>
    <t xml:space="preserve">D15-08</t>
  </si>
  <si>
    <t xml:space="preserve">Tip-intake agent</t>
  </si>
  <si>
    <t xml:space="preserve">Confidential tips with priority scoring</t>
  </si>
  <si>
    <t xml:space="preserve">1) Trigger: tip submitted via any channel
2) Perceive: agent scores credibility and urgency
3) Act: routes to right unit with context package
4) Outcome: every tip counted, none lost</t>
  </si>
  <si>
    <t xml:space="preserve">Al Ameen tip line (call and WhatsApp) exists; AI priority scoring and structured intake are absent.</t>
  </si>
  <si>
    <t xml:space="preserve">D15-09</t>
  </si>
  <si>
    <t xml:space="preserve">Repeat-victim guardian</t>
  </si>
  <si>
    <t xml:space="preserve">Flags repeat victims for preventive visits</t>
  </si>
  <si>
    <t xml:space="preserve">1) Trigger: repeat-victimization pattern detected
2) Perceive: agent flags households/businesses hit again
3) Act: schedules preventive visits and target-hardening help
4) Outcome: victims protected before the third strike</t>
  </si>
  <si>
    <t xml:space="preserve">Repeat victimization is not flagged for preventive visits.</t>
  </si>
  <si>
    <t xml:space="preserve">D15-10</t>
  </si>
  <si>
    <t xml:space="preserve">Rehab-success tracker</t>
  </si>
  <si>
    <t xml:space="preserve">Post-rehabilitation outcome monitoring</t>
  </si>
  <si>
    <t xml:space="preserve">1) Trigger: rehab program cohort updates
2) Perceive: agent tracks outcomes - jobs, relapse, reoffense
3) Act: reports what actually works, program by program
4) Outcome: rehabilitation funded by evidence</t>
  </si>
  <si>
    <t xml:space="preserve">Rehabilitation programs exist; post-release outcome monitoring is missing.</t>
  </si>
  <si>
    <t xml:space="preserve">D15-11</t>
  </si>
  <si>
    <t xml:space="preserve">Data-quality guardian</t>
  </si>
  <si>
    <t xml:space="preserve">Detects report errors and gaps at the source</t>
  </si>
  <si>
    <t xml:space="preserve">1) Trigger: record ingestion across systems
2) Perceive: agent detects errors, gaps and duplicates at source
3) Act: prompts originators with one-tap fixes
4) Outcome: analytics built on clean data</t>
  </si>
  <si>
    <t xml:space="preserve">Quality checks are manual; source-level error and gap detection is absent.</t>
  </si>
  <si>
    <t xml:space="preserve">D15-12</t>
  </si>
  <si>
    <t xml:space="preserve">Research-request agent</t>
  </si>
  <si>
    <t xml:space="preserve">Automates academic partnership data requests</t>
  </si>
  <si>
    <t xml:space="preserve">1) Trigger: academic partnership request
2) Perceive: agent matches request to data and privacy rules
3) Act: prepares compliant extracts and agreements
4) Outcome: research collaboration without legal drag</t>
  </si>
  <si>
    <t xml:space="preserve">Academic requests run manually; automated partnership workflows are missing.</t>
  </si>
  <si>
    <t xml:space="preserve">D15-13</t>
  </si>
  <si>
    <t xml:space="preserve">Digital-twin simulator</t>
  </si>
  <si>
    <t xml:space="preserve">What-if scenarios: metro strike, storm surge, grid failure</t>
  </si>
  <si>
    <t xml:space="preserve">1) Trigger: scenario planning exercise
2) Perceive: agent runs digital-twin what-ifs (strike, surge, outage)
3) Act: produces consequences and resource math per scenario
4) Outcome: plans stress-tested before reality does</t>
  </si>
  <si>
    <t xml:space="preserve">Dubai digital-twin initiatives exist; a police what-if simulation layer is absent.</t>
  </si>
  <si>
    <t xml:space="preserve">D15-14</t>
  </si>
  <si>
    <t xml:space="preserve">Budget-impact agent</t>
  </si>
  <si>
    <t xml:space="preserve">ROI forecasts for new units and technologies</t>
  </si>
  <si>
    <t xml:space="preserve">1) Trigger: budget/investment proposal cycle
2) Perceive: agent models ROI for units and technology
3) Act: drafts evidence-based forecasts for committees
4) Outcome: money argued with numbers, not anecdotes</t>
  </si>
  <si>
    <t xml:space="preserve">No ROI forecasting for new units and technologies.</t>
  </si>
  <si>
    <t xml:space="preserve">D15-15</t>
  </si>
  <si>
    <t xml:space="preserve">Statutory-report writer</t>
  </si>
  <si>
    <t xml:space="preserve">Ministry filings compiled automatically</t>
  </si>
  <si>
    <t xml:space="preserve">1) Trigger: statutory reporting calendar
2) Perceive: agent compiles required data across systems
3) Act: drafts ministry filings with audit trails
4) Outcome: compliance reports done in hours</t>
  </si>
  <si>
    <t xml:space="preserve">Statutory ministry filings are compiled manually each cycle; automated drafting is absent.</t>
  </si>
  <si>
    <t xml:space="preserve">D15-16</t>
  </si>
  <si>
    <t xml:space="preserve">Comms drafter</t>
  </si>
  <si>
    <t xml:space="preserve">Incident media-response drafts for approval</t>
  </si>
  <si>
    <t xml:space="preserve">1) Trigger: notable incident occurs
2) Perceive: agent gathers facts and approved messaging lines
3) Act: drafts media response for comms approval
4) Outcome: public informed fast and accurately</t>
  </si>
  <si>
    <t xml:space="preserve">The media office drafts responses; incident draft generation is missing.</t>
  </si>
  <si>
    <t xml:space="preserve">D15-17</t>
  </si>
  <si>
    <t xml:space="preserve">Long-term matcher</t>
  </si>
  <si>
    <t xml:space="preserve">Years-later unidentified remains and person matching</t>
  </si>
  <si>
    <t xml:space="preserve">1) Trigger: periodic unidentified-cases review
2) Perceive: agent re-runs matches with updated records/models
3) Act: surfaces candidate identifications for investigators
4) Outcome: old mysteries get new answers</t>
  </si>
  <si>
    <t xml:space="preserve">No years-later unidentified remains and persons matching.</t>
  </si>
  <si>
    <t xml:space="preserve">D15-18</t>
  </si>
  <si>
    <t xml:space="preserve">Inspection planner</t>
  </si>
  <si>
    <t xml:space="preserve">Risk-based venue and premises inspection plans</t>
  </si>
  <si>
    <t xml:space="preserve">1) Trigger: inspection planning cycle
2) Perceive: agent scores venues/premises by risk factors
3) Act: builds risk-based inspection schedules
4) Outcome: inspectors where risk actually lives</t>
  </si>
  <si>
    <t xml:space="preserve">Inspections are scheduled; risk-based planning is absent.</t>
  </si>
  <si>
    <t xml:space="preserve">D15-19</t>
  </si>
  <si>
    <t xml:space="preserve">Innovation scout</t>
  </si>
  <si>
    <t xml:space="preserve">Scans global police-tech developments weekly</t>
  </si>
  <si>
    <t xml:space="preserve">1) Trigger: weekly global scan
2) Perceive: agent reviews worldwide police-tech developments
3) Act: drafts briefings on what merits pilots
4) Outcome: Dubai always ahead of the curve</t>
  </si>
  <si>
    <t xml:space="preserve">No weekly scan of global police-tech developments.</t>
  </si>
  <si>
    <t xml:space="preserve">D15-20</t>
  </si>
  <si>
    <t xml:space="preserve">Model-governance agent</t>
  </si>
  <si>
    <t xml:space="preserve">Monitors all police AI models for drift and bias</t>
  </si>
  <si>
    <t xml:space="preserve">1) Trigger: continuous model monitoring
2) Perceive: agent tracks drift, bias and performance of all police AI
3) Act: alerts owners, drafts remediation plans
4) Outcome: the AI policing the AI - always</t>
  </si>
  <si>
    <t xml:space="preserve">No drift and bias monitoring across police AI models.</t>
  </si>
  <si>
    <t xml:space="preserve">Source: reconstruction mapped to Dubai Police services and its announced 2040 AI opportunities, aligned with the DCAI Agentic AI for Government Services Accelerator (33 entities, 300+ public-facing use cases, Oct 2026). 'How the Agent Works' shows the trigger-perceive-act-outcome loop. Ratings /10 weigh community impact, prototype feasibility, demo-ability and governance risk. Existence Status tags what Dubai already runs: White Space = nothing comparable in production; Partial = the data/service base exists but the last mile is manual (your agentic upgrade); Exists = already solved end-to-end, avoid pitching as new.</t>
  </si>
  <si>
    <t xml:space="preserve">Top 10 Championship Picks (External-Facing, Demo-Ready)</t>
  </si>
  <si>
    <t xml:space="preserve">Rank</t>
  </si>
  <si>
    <t xml:space="preserve">Ref ID</t>
  </si>
  <si>
    <t xml:space="preserve">Category</t>
  </si>
  <si>
    <t xml:space="preserve">Why It Wins</t>
  </si>
  <si>
    <t xml:space="preserve">Life-saving and discreet; a 3-minute demo judges never forget. Strong Societal story.</t>
  </si>
  <si>
    <t xml:space="preserve">Orchestrates the amber protocol end-to-end; high-drama live demo with clear public value.</t>
  </si>
  <si>
    <t xml:space="preserve">Everyone has fines — instant 'aha'. Measurable AED saved per user; Personal-category star.</t>
  </si>
  <si>
    <t xml:space="preserve">The Ahlan flagship: arrival-triggered onboarding no government offers yet; pure white space with daily touchpoints.</t>
  </si>
  <si>
    <t xml:space="preserve">Serves 17M+ visitors; multilingual wow factor, perfectly on Dubai's strategy.</t>
  </si>
  <si>
    <t xml:space="preserve">Fraud is the city's top concern; live block-and-warn demo lands immediately.</t>
  </si>
  <si>
    <t xml:space="preserve">Emotionally powerful, discreet chat demo; strong fit for Societal or Youth track.</t>
  </si>
  <si>
    <t xml:space="preserve">Pure 'anticipatory government' narrative — the agent acts before the loss happens.</t>
  </si>
  <si>
    <t xml:space="preserve">Best Youth-category entry; school partnerships make a real pilot achievable in weeks.</t>
  </si>
  <si>
    <t xml:space="preserve">Anticipatory plus human warmth; ends your demo on a story judges remember.</t>
  </si>
  <si>
    <t xml:space="preserve">Selection lens: external-facing, high community impact, prototype-able in weeks, and aligned with the Championship judging criteria (real challenge, tested impact, scalable venture).</t>
  </si>
  <si>
    <t xml:space="preserve">Domain Summary — Live Counts from Catalog</t>
  </si>
  <si>
    <t xml:space="preserve">Total</t>
  </si>
  <si>
    <t xml:space="preserve">High Impact</t>
  </si>
  <si>
    <t xml:space="preserve">Easy Prototype</t>
  </si>
  <si>
    <t xml:space="preserve">Avg Rating (/10)</t>
  </si>
  <si>
    <t xml:space="preserve">Counts are live COUNTIF formulas over the catalog sheet; totals must equal 300. White Space column counts use cases with no comparable production system in Dubai.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</si>
</sst>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1B2A4A"/>
      <name val="Noto Sans CJK SC"/>
      <family val="0"/>
      <charset val="1"/>
    </font>
    <font>
      <sz val="11"/>
      <color rgb="FFFFFFFF"/>
      <name val="Noto Sans CJK SC"/>
      <family val="0"/>
      <charset val="1"/>
    </font>
    <font>
      <sz val="11"/>
      <color rgb="FF37352F"/>
      <name val="Noto Sans CJK SC"/>
      <family val="0"/>
      <charset val="1"/>
    </font>
    <font>
      <sz val="11"/>
      <color rgb="FF1B7D46"/>
      <name val="Noto Sans CJK SC"/>
      <family val="0"/>
      <charset val="1"/>
    </font>
    <font>
      <sz val="11"/>
      <color rgb="FF8C8A84"/>
      <name val="Noto Sans CJK SC"/>
      <family val="0"/>
      <charset val="1"/>
    </font>
    <font>
      <sz val="11"/>
      <color rgb="FF1B2A4A"/>
      <name val="Noto Sans CJK SC"/>
      <family val="0"/>
      <charset val="1"/>
    </font>
    <font>
      <sz val="11"/>
      <color rgb="FFD4820A"/>
      <name val="Noto Sans CJK SC"/>
      <family val="0"/>
      <charset val="1"/>
    </font>
    <font>
      <sz val="11"/>
      <color rgb="FFC0392B"/>
      <name val="Noto Sans CJK SC"/>
      <family val="0"/>
      <charset val="1"/>
    </font>
    <font>
      <sz val="11"/>
      <color rgb="FF37352F"/>
      <name val="WenQuanYi Zen Hei"/>
      <family val="2"/>
      <charset val="1"/>
    </font>
    <font>
      <sz val="9"/>
      <color rgb="FF8C8A84"/>
      <name val="Noto Sans CJK S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B2A4A"/>
        <bgColor rgb="FF37352F"/>
      </patternFill>
    </fill>
    <fill>
      <patternFill patternType="solid">
        <fgColor rgb="FFFFFFFF"/>
        <bgColor rgb="FFF7F7F5"/>
      </patternFill>
    </fill>
    <fill>
      <patternFill patternType="solid">
        <fgColor rgb="FFF7F7F5"/>
        <bgColor rgb="FFFFFFFF"/>
      </patternFill>
    </fill>
    <fill>
      <patternFill patternType="solid">
        <fgColor rgb="FFD6E4F0"/>
        <bgColor rgb="FFE9E9E8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9E9E8"/>
      </bottom>
      <diagonal/>
    </border>
    <border diagonalUp="false" diagonalDown="false">
      <left/>
      <right/>
      <top style="medium">
        <color rgb="FFE9E9E8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9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5" fontId="9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9" fillId="5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7F7F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352F"/>
          <bgColor rgb="FF000000"/>
        </patternFill>
      </fill>
    </dxf>
    <dxf>
      <fill>
        <patternFill patternType="solid">
          <fgColor rgb="FF1B7D46"/>
          <bgColor rgb="FF000000"/>
        </patternFill>
      </fill>
    </dxf>
    <dxf>
      <fill>
        <patternFill patternType="solid">
          <fgColor rgb="FFD4820A"/>
          <bgColor rgb="FF000000"/>
        </patternFill>
      </fill>
    </dxf>
    <dxf>
      <fill>
        <patternFill patternType="solid">
          <fgColor rgb="FF8C8A84"/>
          <bgColor rgb="FF000000"/>
        </patternFill>
      </fill>
    </dxf>
    <dxf>
      <fill>
        <patternFill patternType="solid">
          <fgColor rgb="FFC0392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D46"/>
      <rgbColor rgb="FFC0C0C0"/>
      <rgbColor rgb="FF8C8A84"/>
      <rgbColor rgb="FF9999FF"/>
      <rgbColor rgb="FF993366"/>
      <rgbColor rgb="FFF7F7F5"/>
      <rgbColor rgb="FFE9E9E8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820A"/>
      <rgbColor rgb="FFFF6600"/>
      <rgbColor rgb="FF666699"/>
      <rgbColor rgb="FF969696"/>
      <rgbColor rgb="FF1B2A4A"/>
      <rgbColor rgb="FF339966"/>
      <rgbColor rgb="FF003300"/>
      <rgbColor rgb="FF333300"/>
      <rgbColor rgb="FFC0392B"/>
      <rgbColor rgb="FF993366"/>
      <rgbColor rgb="FF333399"/>
      <rgbColor rgb="FF3735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3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8"/>
    <col collapsed="false" customWidth="true" hidden="false" outlineLevel="0" max="3" min="3" style="1" width="22"/>
    <col collapsed="false" customWidth="true" hidden="false" outlineLevel="0" max="4" min="4" style="1" width="24"/>
    <col collapsed="false" customWidth="true" hidden="false" outlineLevel="0" max="5" min="5" style="1" width="40"/>
    <col collapsed="false" customWidth="true" hidden="false" outlineLevel="0" max="6" min="6" style="1" width="56"/>
    <col collapsed="false" customWidth="true" hidden="false" outlineLevel="0" max="7" min="7" style="1" width="15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1" min="10" style="1" width="13"/>
    <col collapsed="false" customWidth="true" hidden="false" outlineLevel="0" max="12" min="12" style="1" width="34"/>
    <col collapsed="false" customWidth="true" hidden="false" outlineLevel="0" max="13" min="13" style="1" width="13"/>
    <col collapsed="false" customWidth="true" hidden="false" outlineLevel="0" max="14" min="14" style="1" width="10"/>
  </cols>
  <sheetData>
    <row r="2" customFormat="false" ht="31.5" hidden="false" customHeight="true" outlineLevel="0" collapsed="false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  <c r="N4" s="3" t="s">
        <v>13</v>
      </c>
    </row>
    <row r="5" customFormat="false" ht="108.95" hidden="false" customHeight="false" outlineLevel="0" collapsed="false"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5" t="s">
        <v>21</v>
      </c>
      <c r="J5" s="4" t="s">
        <v>22</v>
      </c>
      <c r="K5" s="6" t="s">
        <v>23</v>
      </c>
      <c r="L5" s="4" t="s">
        <v>24</v>
      </c>
      <c r="M5" s="4" t="s">
        <v>25</v>
      </c>
      <c r="N5" s="7" t="n">
        <v>8.5</v>
      </c>
    </row>
    <row r="6" customFormat="false" ht="108.95" hidden="false" customHeight="false" outlineLevel="0" collapsed="false">
      <c r="B6" s="8" t="s">
        <v>26</v>
      </c>
      <c r="C6" s="8" t="s">
        <v>15</v>
      </c>
      <c r="D6" s="8" t="s">
        <v>27</v>
      </c>
      <c r="E6" s="8" t="s">
        <v>28</v>
      </c>
      <c r="F6" s="8" t="s">
        <v>29</v>
      </c>
      <c r="G6" s="8" t="s">
        <v>19</v>
      </c>
      <c r="H6" s="8" t="s">
        <v>20</v>
      </c>
      <c r="I6" s="9" t="s">
        <v>21</v>
      </c>
      <c r="J6" s="9" t="s">
        <v>30</v>
      </c>
      <c r="K6" s="9" t="s">
        <v>31</v>
      </c>
      <c r="L6" s="8" t="s">
        <v>32</v>
      </c>
      <c r="M6" s="8" t="s">
        <v>25</v>
      </c>
      <c r="N6" s="10" t="n">
        <v>9.5</v>
      </c>
    </row>
    <row r="7" customFormat="false" ht="108.95" hidden="false" customHeight="false" outlineLevel="0" collapsed="false">
      <c r="B7" s="4" t="s">
        <v>33</v>
      </c>
      <c r="C7" s="4" t="s">
        <v>15</v>
      </c>
      <c r="D7" s="4" t="s">
        <v>34</v>
      </c>
      <c r="E7" s="4" t="s">
        <v>35</v>
      </c>
      <c r="F7" s="4" t="s">
        <v>36</v>
      </c>
      <c r="G7" s="4" t="s">
        <v>19</v>
      </c>
      <c r="H7" s="4" t="s">
        <v>20</v>
      </c>
      <c r="I7" s="5" t="s">
        <v>21</v>
      </c>
      <c r="J7" s="5" t="s">
        <v>30</v>
      </c>
      <c r="K7" s="5" t="s">
        <v>31</v>
      </c>
      <c r="L7" s="4" t="s">
        <v>37</v>
      </c>
      <c r="M7" s="4" t="s">
        <v>25</v>
      </c>
      <c r="N7" s="7" t="n">
        <v>8.5</v>
      </c>
    </row>
    <row r="8" customFormat="false" ht="108.95" hidden="false" customHeight="false" outlineLevel="0" collapsed="false">
      <c r="B8" s="8" t="s">
        <v>38</v>
      </c>
      <c r="C8" s="8" t="s">
        <v>15</v>
      </c>
      <c r="D8" s="8" t="s">
        <v>39</v>
      </c>
      <c r="E8" s="8" t="s">
        <v>40</v>
      </c>
      <c r="F8" s="8" t="s">
        <v>41</v>
      </c>
      <c r="G8" s="8" t="s">
        <v>42</v>
      </c>
      <c r="H8" s="8" t="s">
        <v>43</v>
      </c>
      <c r="I8" s="9" t="s">
        <v>21</v>
      </c>
      <c r="J8" s="8" t="s">
        <v>22</v>
      </c>
      <c r="K8" s="11" t="s">
        <v>23</v>
      </c>
      <c r="L8" s="8" t="s">
        <v>44</v>
      </c>
      <c r="M8" s="8" t="s">
        <v>45</v>
      </c>
      <c r="N8" s="10" t="n">
        <v>8</v>
      </c>
    </row>
    <row r="9" customFormat="false" ht="108.95" hidden="false" customHeight="false" outlineLevel="0" collapsed="false">
      <c r="B9" s="4" t="s">
        <v>46</v>
      </c>
      <c r="C9" s="4" t="s">
        <v>15</v>
      </c>
      <c r="D9" s="4" t="s">
        <v>47</v>
      </c>
      <c r="E9" s="4" t="s">
        <v>48</v>
      </c>
      <c r="F9" s="4" t="s">
        <v>49</v>
      </c>
      <c r="G9" s="4" t="s">
        <v>50</v>
      </c>
      <c r="H9" s="4" t="s">
        <v>43</v>
      </c>
      <c r="I9" s="5" t="s">
        <v>21</v>
      </c>
      <c r="J9" s="4" t="s">
        <v>22</v>
      </c>
      <c r="K9" s="5" t="s">
        <v>31</v>
      </c>
      <c r="L9" s="4" t="s">
        <v>51</v>
      </c>
      <c r="M9" s="4" t="s">
        <v>45</v>
      </c>
      <c r="N9" s="7" t="n">
        <v>7.5</v>
      </c>
    </row>
    <row r="10" customFormat="false" ht="95.5" hidden="false" customHeight="false" outlineLevel="0" collapsed="false">
      <c r="B10" s="8" t="s">
        <v>52</v>
      </c>
      <c r="C10" s="8" t="s">
        <v>15</v>
      </c>
      <c r="D10" s="8" t="s">
        <v>53</v>
      </c>
      <c r="E10" s="8" t="s">
        <v>54</v>
      </c>
      <c r="F10" s="8" t="s">
        <v>55</v>
      </c>
      <c r="G10" s="8" t="s">
        <v>19</v>
      </c>
      <c r="H10" s="8" t="s">
        <v>20</v>
      </c>
      <c r="I10" s="9" t="s">
        <v>21</v>
      </c>
      <c r="J10" s="9" t="s">
        <v>30</v>
      </c>
      <c r="K10" s="9" t="s">
        <v>31</v>
      </c>
      <c r="L10" s="8" t="s">
        <v>56</v>
      </c>
      <c r="M10" s="8" t="s">
        <v>25</v>
      </c>
      <c r="N10" s="10" t="n">
        <v>9</v>
      </c>
    </row>
    <row r="11" customFormat="false" ht="108.95" hidden="false" customHeight="false" outlineLevel="0" collapsed="false">
      <c r="B11" s="4" t="s">
        <v>57</v>
      </c>
      <c r="C11" s="4" t="s">
        <v>15</v>
      </c>
      <c r="D11" s="4" t="s">
        <v>58</v>
      </c>
      <c r="E11" s="4" t="s">
        <v>59</v>
      </c>
      <c r="F11" s="4" t="s">
        <v>60</v>
      </c>
      <c r="G11" s="4" t="s">
        <v>42</v>
      </c>
      <c r="H11" s="4" t="s">
        <v>43</v>
      </c>
      <c r="I11" s="4" t="s">
        <v>22</v>
      </c>
      <c r="J11" s="5" t="s">
        <v>30</v>
      </c>
      <c r="K11" s="6" t="s">
        <v>23</v>
      </c>
      <c r="L11" s="4" t="s">
        <v>61</v>
      </c>
      <c r="M11" s="4" t="s">
        <v>45</v>
      </c>
      <c r="N11" s="7" t="n">
        <v>7</v>
      </c>
    </row>
    <row r="12" customFormat="false" ht="95.5" hidden="false" customHeight="false" outlineLevel="0" collapsed="false">
      <c r="B12" s="8" t="s">
        <v>62</v>
      </c>
      <c r="C12" s="8" t="s">
        <v>15</v>
      </c>
      <c r="D12" s="8" t="s">
        <v>63</v>
      </c>
      <c r="E12" s="8" t="s">
        <v>64</v>
      </c>
      <c r="F12" s="8" t="s">
        <v>65</v>
      </c>
      <c r="G12" s="8" t="s">
        <v>42</v>
      </c>
      <c r="H12" s="8" t="s">
        <v>43</v>
      </c>
      <c r="I12" s="9" t="s">
        <v>21</v>
      </c>
      <c r="J12" s="8" t="s">
        <v>22</v>
      </c>
      <c r="K12" s="11" t="s">
        <v>23</v>
      </c>
      <c r="L12" s="8" t="s">
        <v>66</v>
      </c>
      <c r="M12" s="8" t="s">
        <v>45</v>
      </c>
      <c r="N12" s="10" t="n">
        <v>8</v>
      </c>
    </row>
    <row r="13" customFormat="false" ht="108.95" hidden="false" customHeight="false" outlineLevel="0" collapsed="false">
      <c r="B13" s="4" t="s">
        <v>67</v>
      </c>
      <c r="C13" s="4" t="s">
        <v>15</v>
      </c>
      <c r="D13" s="4" t="s">
        <v>68</v>
      </c>
      <c r="E13" s="4" t="s">
        <v>69</v>
      </c>
      <c r="F13" s="4" t="s">
        <v>70</v>
      </c>
      <c r="G13" s="4" t="s">
        <v>50</v>
      </c>
      <c r="H13" s="4" t="s">
        <v>43</v>
      </c>
      <c r="I13" s="5" t="s">
        <v>21</v>
      </c>
      <c r="J13" s="4" t="s">
        <v>22</v>
      </c>
      <c r="K13" s="6" t="s">
        <v>23</v>
      </c>
      <c r="L13" s="4" t="s">
        <v>71</v>
      </c>
      <c r="M13" s="4" t="s">
        <v>25</v>
      </c>
      <c r="N13" s="7" t="n">
        <v>9</v>
      </c>
    </row>
    <row r="14" customFormat="false" ht="108.95" hidden="false" customHeight="false" outlineLevel="0" collapsed="false">
      <c r="B14" s="8" t="s">
        <v>72</v>
      </c>
      <c r="C14" s="8" t="s">
        <v>15</v>
      </c>
      <c r="D14" s="8" t="s">
        <v>73</v>
      </c>
      <c r="E14" s="8" t="s">
        <v>74</v>
      </c>
      <c r="F14" s="8" t="s">
        <v>75</v>
      </c>
      <c r="G14" s="8" t="s">
        <v>76</v>
      </c>
      <c r="H14" s="8" t="s">
        <v>20</v>
      </c>
      <c r="I14" s="9" t="s">
        <v>21</v>
      </c>
      <c r="J14" s="8" t="s">
        <v>22</v>
      </c>
      <c r="K14" s="11" t="s">
        <v>23</v>
      </c>
      <c r="L14" s="8" t="s">
        <v>77</v>
      </c>
      <c r="M14" s="8" t="s">
        <v>25</v>
      </c>
      <c r="N14" s="10" t="n">
        <v>8.5</v>
      </c>
    </row>
    <row r="15" customFormat="false" ht="95.5" hidden="false" customHeight="false" outlineLevel="0" collapsed="false">
      <c r="B15" s="4" t="s">
        <v>78</v>
      </c>
      <c r="C15" s="4" t="s">
        <v>15</v>
      </c>
      <c r="D15" s="4" t="s">
        <v>79</v>
      </c>
      <c r="E15" s="4" t="s">
        <v>80</v>
      </c>
      <c r="F15" s="4" t="s">
        <v>81</v>
      </c>
      <c r="G15" s="4" t="s">
        <v>19</v>
      </c>
      <c r="H15" s="4" t="s">
        <v>20</v>
      </c>
      <c r="I15" s="5" t="s">
        <v>21</v>
      </c>
      <c r="J15" s="5" t="s">
        <v>30</v>
      </c>
      <c r="K15" s="6" t="s">
        <v>23</v>
      </c>
      <c r="L15" s="4" t="s">
        <v>82</v>
      </c>
      <c r="M15" s="4" t="s">
        <v>25</v>
      </c>
      <c r="N15" s="7" t="n">
        <v>9</v>
      </c>
    </row>
    <row r="16" customFormat="false" ht="108.95" hidden="false" customHeight="false" outlineLevel="0" collapsed="false">
      <c r="B16" s="8" t="s">
        <v>83</v>
      </c>
      <c r="C16" s="8" t="s">
        <v>15</v>
      </c>
      <c r="D16" s="8" t="s">
        <v>84</v>
      </c>
      <c r="E16" s="8" t="s">
        <v>85</v>
      </c>
      <c r="F16" s="8" t="s">
        <v>86</v>
      </c>
      <c r="G16" s="8" t="s">
        <v>87</v>
      </c>
      <c r="H16" s="8" t="s">
        <v>43</v>
      </c>
      <c r="I16" s="8" t="s">
        <v>22</v>
      </c>
      <c r="J16" s="12" t="s">
        <v>88</v>
      </c>
      <c r="K16" s="11" t="s">
        <v>23</v>
      </c>
      <c r="L16" s="8" t="s">
        <v>89</v>
      </c>
      <c r="M16" s="8" t="s">
        <v>45</v>
      </c>
      <c r="N16" s="10" t="n">
        <v>7</v>
      </c>
    </row>
    <row r="17" customFormat="false" ht="108.95" hidden="false" customHeight="false" outlineLevel="0" collapsed="false">
      <c r="B17" s="4" t="s">
        <v>90</v>
      </c>
      <c r="C17" s="4" t="s">
        <v>15</v>
      </c>
      <c r="D17" s="4" t="s">
        <v>91</v>
      </c>
      <c r="E17" s="4" t="s">
        <v>92</v>
      </c>
      <c r="F17" s="4" t="s">
        <v>93</v>
      </c>
      <c r="G17" s="4" t="s">
        <v>87</v>
      </c>
      <c r="H17" s="4" t="s">
        <v>43</v>
      </c>
      <c r="I17" s="4" t="s">
        <v>22</v>
      </c>
      <c r="J17" s="13" t="s">
        <v>88</v>
      </c>
      <c r="K17" s="6" t="s">
        <v>23</v>
      </c>
      <c r="L17" s="4" t="s">
        <v>94</v>
      </c>
      <c r="M17" s="4" t="s">
        <v>45</v>
      </c>
      <c r="N17" s="7" t="n">
        <v>7</v>
      </c>
    </row>
    <row r="18" customFormat="false" ht="95.5" hidden="false" customHeight="false" outlineLevel="0" collapsed="false">
      <c r="B18" s="8" t="s">
        <v>95</v>
      </c>
      <c r="C18" s="8" t="s">
        <v>15</v>
      </c>
      <c r="D18" s="8" t="s">
        <v>96</v>
      </c>
      <c r="E18" s="8" t="s">
        <v>97</v>
      </c>
      <c r="F18" s="8" t="s">
        <v>98</v>
      </c>
      <c r="G18" s="8" t="s">
        <v>87</v>
      </c>
      <c r="H18" s="8" t="s">
        <v>20</v>
      </c>
      <c r="I18" s="9" t="s">
        <v>21</v>
      </c>
      <c r="J18" s="12" t="s">
        <v>88</v>
      </c>
      <c r="K18" s="9" t="s">
        <v>31</v>
      </c>
      <c r="L18" s="8" t="s">
        <v>99</v>
      </c>
      <c r="M18" s="8" t="s">
        <v>25</v>
      </c>
      <c r="N18" s="10" t="n">
        <v>8</v>
      </c>
    </row>
    <row r="19" customFormat="false" ht="95.5" hidden="false" customHeight="false" outlineLevel="0" collapsed="false">
      <c r="B19" s="4" t="s">
        <v>100</v>
      </c>
      <c r="C19" s="4" t="s">
        <v>15</v>
      </c>
      <c r="D19" s="4" t="s">
        <v>101</v>
      </c>
      <c r="E19" s="4" t="s">
        <v>102</v>
      </c>
      <c r="F19" s="4" t="s">
        <v>103</v>
      </c>
      <c r="G19" s="4" t="s">
        <v>76</v>
      </c>
      <c r="H19" s="4" t="s">
        <v>43</v>
      </c>
      <c r="I19" s="5" t="s">
        <v>21</v>
      </c>
      <c r="J19" s="4" t="s">
        <v>22</v>
      </c>
      <c r="K19" s="6" t="s">
        <v>23</v>
      </c>
      <c r="L19" s="4" t="s">
        <v>104</v>
      </c>
      <c r="M19" s="4" t="s">
        <v>45</v>
      </c>
      <c r="N19" s="7" t="n">
        <v>8.5</v>
      </c>
    </row>
    <row r="20" customFormat="false" ht="108.95" hidden="false" customHeight="false" outlineLevel="0" collapsed="false">
      <c r="B20" s="8" t="s">
        <v>105</v>
      </c>
      <c r="C20" s="8" t="s">
        <v>15</v>
      </c>
      <c r="D20" s="8" t="s">
        <v>106</v>
      </c>
      <c r="E20" s="8" t="s">
        <v>107</v>
      </c>
      <c r="F20" s="8" t="s">
        <v>108</v>
      </c>
      <c r="G20" s="8" t="s">
        <v>87</v>
      </c>
      <c r="H20" s="8" t="s">
        <v>43</v>
      </c>
      <c r="I20" s="8" t="s">
        <v>22</v>
      </c>
      <c r="J20" s="8" t="s">
        <v>22</v>
      </c>
      <c r="K20" s="9" t="s">
        <v>31</v>
      </c>
      <c r="L20" s="8" t="s">
        <v>109</v>
      </c>
      <c r="M20" s="8" t="s">
        <v>25</v>
      </c>
      <c r="N20" s="10" t="n">
        <v>7.5</v>
      </c>
    </row>
    <row r="21" customFormat="false" ht="95.5" hidden="false" customHeight="false" outlineLevel="0" collapsed="false">
      <c r="B21" s="4" t="s">
        <v>110</v>
      </c>
      <c r="C21" s="4" t="s">
        <v>15</v>
      </c>
      <c r="D21" s="4" t="s">
        <v>111</v>
      </c>
      <c r="E21" s="4" t="s">
        <v>112</v>
      </c>
      <c r="F21" s="4" t="s">
        <v>113</v>
      </c>
      <c r="G21" s="4" t="s">
        <v>42</v>
      </c>
      <c r="H21" s="4" t="s">
        <v>43</v>
      </c>
      <c r="I21" s="5" t="s">
        <v>21</v>
      </c>
      <c r="J21" s="5" t="s">
        <v>30</v>
      </c>
      <c r="K21" s="5" t="s">
        <v>31</v>
      </c>
      <c r="L21" s="4" t="s">
        <v>114</v>
      </c>
      <c r="M21" s="4" t="s">
        <v>45</v>
      </c>
      <c r="N21" s="7" t="n">
        <v>8.5</v>
      </c>
    </row>
    <row r="22" customFormat="false" ht="95.5" hidden="false" customHeight="false" outlineLevel="0" collapsed="false">
      <c r="B22" s="8" t="s">
        <v>115</v>
      </c>
      <c r="C22" s="8" t="s">
        <v>15</v>
      </c>
      <c r="D22" s="8" t="s">
        <v>116</v>
      </c>
      <c r="E22" s="8" t="s">
        <v>117</v>
      </c>
      <c r="F22" s="8" t="s">
        <v>118</v>
      </c>
      <c r="G22" s="8" t="s">
        <v>19</v>
      </c>
      <c r="H22" s="8" t="s">
        <v>20</v>
      </c>
      <c r="I22" s="8" t="s">
        <v>22</v>
      </c>
      <c r="J22" s="9" t="s">
        <v>30</v>
      </c>
      <c r="K22" s="11" t="s">
        <v>23</v>
      </c>
      <c r="L22" s="8" t="s">
        <v>119</v>
      </c>
      <c r="M22" s="8" t="s">
        <v>25</v>
      </c>
      <c r="N22" s="10" t="n">
        <v>8</v>
      </c>
    </row>
    <row r="23" customFormat="false" ht="95.5" hidden="false" customHeight="false" outlineLevel="0" collapsed="false">
      <c r="B23" s="4" t="s">
        <v>120</v>
      </c>
      <c r="C23" s="4" t="s">
        <v>15</v>
      </c>
      <c r="D23" s="4" t="s">
        <v>121</v>
      </c>
      <c r="E23" s="4" t="s">
        <v>122</v>
      </c>
      <c r="F23" s="4" t="s">
        <v>123</v>
      </c>
      <c r="G23" s="4" t="s">
        <v>76</v>
      </c>
      <c r="H23" s="4" t="s">
        <v>20</v>
      </c>
      <c r="I23" s="5" t="s">
        <v>21</v>
      </c>
      <c r="J23" s="4" t="s">
        <v>22</v>
      </c>
      <c r="K23" s="5" t="s">
        <v>31</v>
      </c>
      <c r="L23" s="4" t="s">
        <v>124</v>
      </c>
      <c r="M23" s="4" t="s">
        <v>25</v>
      </c>
      <c r="N23" s="7" t="n">
        <v>8.5</v>
      </c>
    </row>
    <row r="24" customFormat="false" ht="95.5" hidden="false" customHeight="false" outlineLevel="0" collapsed="false">
      <c r="B24" s="8" t="s">
        <v>125</v>
      </c>
      <c r="C24" s="8" t="s">
        <v>15</v>
      </c>
      <c r="D24" s="8" t="s">
        <v>126</v>
      </c>
      <c r="E24" s="8" t="s">
        <v>127</v>
      </c>
      <c r="F24" s="8" t="s">
        <v>128</v>
      </c>
      <c r="G24" s="8" t="s">
        <v>42</v>
      </c>
      <c r="H24" s="8" t="s">
        <v>43</v>
      </c>
      <c r="I24" s="8" t="s">
        <v>22</v>
      </c>
      <c r="J24" s="9" t="s">
        <v>30</v>
      </c>
      <c r="K24" s="11" t="s">
        <v>23</v>
      </c>
      <c r="L24" s="8" t="s">
        <v>129</v>
      </c>
      <c r="M24" s="8" t="s">
        <v>45</v>
      </c>
      <c r="N24" s="10" t="n">
        <v>8</v>
      </c>
    </row>
    <row r="25" customFormat="false" ht="95.5" hidden="false" customHeight="false" outlineLevel="0" collapsed="false">
      <c r="B25" s="4" t="s">
        <v>130</v>
      </c>
      <c r="C25" s="4" t="s">
        <v>131</v>
      </c>
      <c r="D25" s="4" t="s">
        <v>132</v>
      </c>
      <c r="E25" s="4" t="s">
        <v>133</v>
      </c>
      <c r="F25" s="4" t="s">
        <v>134</v>
      </c>
      <c r="G25" s="4" t="s">
        <v>87</v>
      </c>
      <c r="H25" s="4" t="s">
        <v>43</v>
      </c>
      <c r="I25" s="5" t="s">
        <v>21</v>
      </c>
      <c r="J25" s="4" t="s">
        <v>22</v>
      </c>
      <c r="K25" s="6" t="s">
        <v>23</v>
      </c>
      <c r="L25" s="4" t="s">
        <v>135</v>
      </c>
      <c r="M25" s="4" t="s">
        <v>45</v>
      </c>
      <c r="N25" s="7" t="n">
        <v>7.5</v>
      </c>
    </row>
    <row r="26" customFormat="false" ht="108.95" hidden="false" customHeight="false" outlineLevel="0" collapsed="false">
      <c r="B26" s="8" t="s">
        <v>136</v>
      </c>
      <c r="C26" s="8" t="s">
        <v>131</v>
      </c>
      <c r="D26" s="8" t="s">
        <v>137</v>
      </c>
      <c r="E26" s="8" t="s">
        <v>138</v>
      </c>
      <c r="F26" s="8" t="s">
        <v>139</v>
      </c>
      <c r="G26" s="8" t="s">
        <v>50</v>
      </c>
      <c r="H26" s="8" t="s">
        <v>20</v>
      </c>
      <c r="I26" s="8" t="s">
        <v>22</v>
      </c>
      <c r="J26" s="8" t="s">
        <v>22</v>
      </c>
      <c r="K26" s="11" t="s">
        <v>23</v>
      </c>
      <c r="L26" s="8" t="s">
        <v>140</v>
      </c>
      <c r="M26" s="8" t="s">
        <v>25</v>
      </c>
      <c r="N26" s="10" t="n">
        <v>7.5</v>
      </c>
    </row>
    <row r="27" customFormat="false" ht="108.95" hidden="false" customHeight="false" outlineLevel="0" collapsed="false">
      <c r="B27" s="4" t="s">
        <v>141</v>
      </c>
      <c r="C27" s="4" t="s">
        <v>131</v>
      </c>
      <c r="D27" s="4" t="s">
        <v>142</v>
      </c>
      <c r="E27" s="4" t="s">
        <v>143</v>
      </c>
      <c r="F27" s="4" t="s">
        <v>144</v>
      </c>
      <c r="G27" s="4" t="s">
        <v>50</v>
      </c>
      <c r="H27" s="4" t="s">
        <v>43</v>
      </c>
      <c r="I27" s="5" t="s">
        <v>21</v>
      </c>
      <c r="J27" s="4" t="s">
        <v>22</v>
      </c>
      <c r="K27" s="6" t="s">
        <v>23</v>
      </c>
      <c r="L27" s="4" t="s">
        <v>145</v>
      </c>
      <c r="M27" s="4" t="s">
        <v>45</v>
      </c>
      <c r="N27" s="7" t="n">
        <v>8.5</v>
      </c>
    </row>
    <row r="28" customFormat="false" ht="108.95" hidden="false" customHeight="false" outlineLevel="0" collapsed="false">
      <c r="B28" s="8" t="s">
        <v>146</v>
      </c>
      <c r="C28" s="8" t="s">
        <v>131</v>
      </c>
      <c r="D28" s="8" t="s">
        <v>147</v>
      </c>
      <c r="E28" s="8" t="s">
        <v>148</v>
      </c>
      <c r="F28" s="8" t="s">
        <v>149</v>
      </c>
      <c r="G28" s="8" t="s">
        <v>150</v>
      </c>
      <c r="H28" s="8" t="s">
        <v>43</v>
      </c>
      <c r="I28" s="9" t="s">
        <v>21</v>
      </c>
      <c r="J28" s="8" t="s">
        <v>22</v>
      </c>
      <c r="K28" s="11" t="s">
        <v>23</v>
      </c>
      <c r="L28" s="8" t="s">
        <v>151</v>
      </c>
      <c r="M28" s="8" t="s">
        <v>45</v>
      </c>
      <c r="N28" s="10" t="n">
        <v>8</v>
      </c>
    </row>
    <row r="29" customFormat="false" ht="108.95" hidden="false" customHeight="false" outlineLevel="0" collapsed="false">
      <c r="B29" s="4" t="s">
        <v>152</v>
      </c>
      <c r="C29" s="4" t="s">
        <v>131</v>
      </c>
      <c r="D29" s="4" t="s">
        <v>153</v>
      </c>
      <c r="E29" s="4" t="s">
        <v>154</v>
      </c>
      <c r="F29" s="4" t="s">
        <v>155</v>
      </c>
      <c r="G29" s="4" t="s">
        <v>150</v>
      </c>
      <c r="H29" s="4" t="s">
        <v>43</v>
      </c>
      <c r="I29" s="5" t="s">
        <v>21</v>
      </c>
      <c r="J29" s="13" t="s">
        <v>88</v>
      </c>
      <c r="K29" s="6" t="s">
        <v>23</v>
      </c>
      <c r="L29" s="4" t="s">
        <v>156</v>
      </c>
      <c r="M29" s="4" t="s">
        <v>45</v>
      </c>
      <c r="N29" s="7" t="n">
        <v>7.5</v>
      </c>
    </row>
    <row r="30" customFormat="false" ht="95.5" hidden="false" customHeight="false" outlineLevel="0" collapsed="false">
      <c r="B30" s="8" t="s">
        <v>157</v>
      </c>
      <c r="C30" s="8" t="s">
        <v>131</v>
      </c>
      <c r="D30" s="8" t="s">
        <v>158</v>
      </c>
      <c r="E30" s="8" t="s">
        <v>159</v>
      </c>
      <c r="F30" s="8" t="s">
        <v>160</v>
      </c>
      <c r="G30" s="8" t="s">
        <v>42</v>
      </c>
      <c r="H30" s="8" t="s">
        <v>43</v>
      </c>
      <c r="I30" s="9" t="s">
        <v>21</v>
      </c>
      <c r="J30" s="8" t="s">
        <v>22</v>
      </c>
      <c r="K30" s="11" t="s">
        <v>23</v>
      </c>
      <c r="L30" s="8" t="s">
        <v>161</v>
      </c>
      <c r="M30" s="8" t="s">
        <v>45</v>
      </c>
      <c r="N30" s="10" t="n">
        <v>7</v>
      </c>
    </row>
    <row r="31" customFormat="false" ht="95.5" hidden="false" customHeight="false" outlineLevel="0" collapsed="false">
      <c r="B31" s="4" t="s">
        <v>162</v>
      </c>
      <c r="C31" s="4" t="s">
        <v>131</v>
      </c>
      <c r="D31" s="4" t="s">
        <v>163</v>
      </c>
      <c r="E31" s="4" t="s">
        <v>164</v>
      </c>
      <c r="F31" s="4" t="s">
        <v>165</v>
      </c>
      <c r="G31" s="4" t="s">
        <v>150</v>
      </c>
      <c r="H31" s="4" t="s">
        <v>43</v>
      </c>
      <c r="I31" s="5" t="s">
        <v>21</v>
      </c>
      <c r="J31" s="4" t="s">
        <v>22</v>
      </c>
      <c r="K31" s="5" t="s">
        <v>31</v>
      </c>
      <c r="L31" s="4" t="s">
        <v>166</v>
      </c>
      <c r="M31" s="4" t="s">
        <v>45</v>
      </c>
      <c r="N31" s="7" t="n">
        <v>8</v>
      </c>
    </row>
    <row r="32" customFormat="false" ht="108.95" hidden="false" customHeight="false" outlineLevel="0" collapsed="false">
      <c r="B32" s="8" t="s">
        <v>167</v>
      </c>
      <c r="C32" s="8" t="s">
        <v>131</v>
      </c>
      <c r="D32" s="8" t="s">
        <v>168</v>
      </c>
      <c r="E32" s="8" t="s">
        <v>169</v>
      </c>
      <c r="F32" s="8" t="s">
        <v>170</v>
      </c>
      <c r="G32" s="8" t="s">
        <v>19</v>
      </c>
      <c r="H32" s="8" t="s">
        <v>20</v>
      </c>
      <c r="I32" s="8" t="s">
        <v>22</v>
      </c>
      <c r="J32" s="8" t="s">
        <v>22</v>
      </c>
      <c r="K32" s="11" t="s">
        <v>23</v>
      </c>
      <c r="L32" s="8" t="s">
        <v>171</v>
      </c>
      <c r="M32" s="8" t="s">
        <v>25</v>
      </c>
      <c r="N32" s="10" t="n">
        <v>7.5</v>
      </c>
    </row>
    <row r="33" customFormat="false" ht="108.95" hidden="false" customHeight="false" outlineLevel="0" collapsed="false">
      <c r="B33" s="4" t="s">
        <v>172</v>
      </c>
      <c r="C33" s="4" t="s">
        <v>131</v>
      </c>
      <c r="D33" s="4" t="s">
        <v>173</v>
      </c>
      <c r="E33" s="4" t="s">
        <v>174</v>
      </c>
      <c r="F33" s="4" t="s">
        <v>175</v>
      </c>
      <c r="G33" s="4" t="s">
        <v>87</v>
      </c>
      <c r="H33" s="4" t="s">
        <v>20</v>
      </c>
      <c r="I33" s="4" t="s">
        <v>22</v>
      </c>
      <c r="J33" s="4" t="s">
        <v>22</v>
      </c>
      <c r="K33" s="6" t="s">
        <v>23</v>
      </c>
      <c r="L33" s="4" t="s">
        <v>176</v>
      </c>
      <c r="M33" s="4" t="s">
        <v>25</v>
      </c>
      <c r="N33" s="7" t="n">
        <v>8</v>
      </c>
    </row>
    <row r="34" customFormat="false" ht="95.5" hidden="false" customHeight="false" outlineLevel="0" collapsed="false">
      <c r="B34" s="8" t="s">
        <v>177</v>
      </c>
      <c r="C34" s="8" t="s">
        <v>131</v>
      </c>
      <c r="D34" s="8" t="s">
        <v>178</v>
      </c>
      <c r="E34" s="8" t="s">
        <v>179</v>
      </c>
      <c r="F34" s="8" t="s">
        <v>180</v>
      </c>
      <c r="G34" s="8" t="s">
        <v>19</v>
      </c>
      <c r="H34" s="8" t="s">
        <v>20</v>
      </c>
      <c r="I34" s="8" t="s">
        <v>22</v>
      </c>
      <c r="J34" s="9" t="s">
        <v>30</v>
      </c>
      <c r="K34" s="11" t="s">
        <v>23</v>
      </c>
      <c r="L34" s="8" t="s">
        <v>181</v>
      </c>
      <c r="M34" s="8" t="s">
        <v>25</v>
      </c>
      <c r="N34" s="10" t="n">
        <v>8.5</v>
      </c>
    </row>
    <row r="35" customFormat="false" ht="108.95" hidden="false" customHeight="false" outlineLevel="0" collapsed="false">
      <c r="B35" s="4" t="s">
        <v>182</v>
      </c>
      <c r="C35" s="4" t="s">
        <v>131</v>
      </c>
      <c r="D35" s="4" t="s">
        <v>183</v>
      </c>
      <c r="E35" s="4" t="s">
        <v>184</v>
      </c>
      <c r="F35" s="4" t="s">
        <v>185</v>
      </c>
      <c r="G35" s="4" t="s">
        <v>150</v>
      </c>
      <c r="H35" s="4" t="s">
        <v>20</v>
      </c>
      <c r="I35" s="5" t="s">
        <v>21</v>
      </c>
      <c r="J35" s="4" t="s">
        <v>22</v>
      </c>
      <c r="K35" s="6" t="s">
        <v>23</v>
      </c>
      <c r="L35" s="4" t="s">
        <v>186</v>
      </c>
      <c r="M35" s="4" t="s">
        <v>25</v>
      </c>
      <c r="N35" s="7" t="n">
        <v>8</v>
      </c>
    </row>
    <row r="36" customFormat="false" ht="108.95" hidden="false" customHeight="false" outlineLevel="0" collapsed="false">
      <c r="B36" s="8" t="s">
        <v>187</v>
      </c>
      <c r="C36" s="8" t="s">
        <v>131</v>
      </c>
      <c r="D36" s="8" t="s">
        <v>188</v>
      </c>
      <c r="E36" s="8" t="s">
        <v>189</v>
      </c>
      <c r="F36" s="8" t="s">
        <v>190</v>
      </c>
      <c r="G36" s="8" t="s">
        <v>87</v>
      </c>
      <c r="H36" s="8" t="s">
        <v>20</v>
      </c>
      <c r="I36" s="8" t="s">
        <v>22</v>
      </c>
      <c r="J36" s="8" t="s">
        <v>22</v>
      </c>
      <c r="K36" s="11" t="s">
        <v>23</v>
      </c>
      <c r="L36" s="8" t="s">
        <v>191</v>
      </c>
      <c r="M36" s="8" t="s">
        <v>25</v>
      </c>
      <c r="N36" s="10" t="n">
        <v>8</v>
      </c>
    </row>
    <row r="37" customFormat="false" ht="108.95" hidden="false" customHeight="false" outlineLevel="0" collapsed="false">
      <c r="B37" s="4" t="s">
        <v>192</v>
      </c>
      <c r="C37" s="4" t="s">
        <v>131</v>
      </c>
      <c r="D37" s="4" t="s">
        <v>193</v>
      </c>
      <c r="E37" s="4" t="s">
        <v>194</v>
      </c>
      <c r="F37" s="4" t="s">
        <v>195</v>
      </c>
      <c r="G37" s="4" t="s">
        <v>150</v>
      </c>
      <c r="H37" s="4" t="s">
        <v>43</v>
      </c>
      <c r="I37" s="4" t="s">
        <v>22</v>
      </c>
      <c r="J37" s="4" t="s">
        <v>22</v>
      </c>
      <c r="K37" s="6" t="s">
        <v>23</v>
      </c>
      <c r="L37" s="4" t="s">
        <v>196</v>
      </c>
      <c r="M37" s="4" t="s">
        <v>45</v>
      </c>
      <c r="N37" s="7" t="n">
        <v>7</v>
      </c>
    </row>
    <row r="38" customFormat="false" ht="95.5" hidden="false" customHeight="false" outlineLevel="0" collapsed="false">
      <c r="B38" s="8" t="s">
        <v>197</v>
      </c>
      <c r="C38" s="8" t="s">
        <v>131</v>
      </c>
      <c r="D38" s="8" t="s">
        <v>198</v>
      </c>
      <c r="E38" s="8" t="s">
        <v>199</v>
      </c>
      <c r="F38" s="8" t="s">
        <v>200</v>
      </c>
      <c r="G38" s="8" t="s">
        <v>150</v>
      </c>
      <c r="H38" s="8" t="s">
        <v>20</v>
      </c>
      <c r="I38" s="9" t="s">
        <v>21</v>
      </c>
      <c r="J38" s="9" t="s">
        <v>30</v>
      </c>
      <c r="K38" s="11" t="s">
        <v>23</v>
      </c>
      <c r="L38" s="8" t="s">
        <v>201</v>
      </c>
      <c r="M38" s="8" t="s">
        <v>25</v>
      </c>
      <c r="N38" s="10" t="n">
        <v>8.5</v>
      </c>
    </row>
    <row r="39" customFormat="false" ht="108.95" hidden="false" customHeight="false" outlineLevel="0" collapsed="false">
      <c r="B39" s="4" t="s">
        <v>202</v>
      </c>
      <c r="C39" s="4" t="s">
        <v>131</v>
      </c>
      <c r="D39" s="4" t="s">
        <v>203</v>
      </c>
      <c r="E39" s="4" t="s">
        <v>204</v>
      </c>
      <c r="F39" s="4" t="s">
        <v>205</v>
      </c>
      <c r="G39" s="4" t="s">
        <v>50</v>
      </c>
      <c r="H39" s="4" t="s">
        <v>43</v>
      </c>
      <c r="I39" s="5" t="s">
        <v>21</v>
      </c>
      <c r="J39" s="13" t="s">
        <v>88</v>
      </c>
      <c r="K39" s="6" t="s">
        <v>23</v>
      </c>
      <c r="L39" s="4" t="s">
        <v>206</v>
      </c>
      <c r="M39" s="4" t="s">
        <v>45</v>
      </c>
      <c r="N39" s="7" t="n">
        <v>7.5</v>
      </c>
    </row>
    <row r="40" customFormat="false" ht="108.95" hidden="false" customHeight="false" outlineLevel="0" collapsed="false">
      <c r="B40" s="8" t="s">
        <v>207</v>
      </c>
      <c r="C40" s="8" t="s">
        <v>131</v>
      </c>
      <c r="D40" s="8" t="s">
        <v>208</v>
      </c>
      <c r="E40" s="8" t="s">
        <v>209</v>
      </c>
      <c r="F40" s="8" t="s">
        <v>210</v>
      </c>
      <c r="G40" s="8" t="s">
        <v>42</v>
      </c>
      <c r="H40" s="8" t="s">
        <v>43</v>
      </c>
      <c r="I40" s="8" t="s">
        <v>22</v>
      </c>
      <c r="J40" s="9" t="s">
        <v>30</v>
      </c>
      <c r="K40" s="9" t="s">
        <v>31</v>
      </c>
      <c r="L40" s="8" t="s">
        <v>211</v>
      </c>
      <c r="M40" s="8" t="s">
        <v>45</v>
      </c>
      <c r="N40" s="10" t="n">
        <v>7.5</v>
      </c>
    </row>
    <row r="41" customFormat="false" ht="95.5" hidden="false" customHeight="false" outlineLevel="0" collapsed="false">
      <c r="B41" s="4" t="s">
        <v>212</v>
      </c>
      <c r="C41" s="4" t="s">
        <v>131</v>
      </c>
      <c r="D41" s="4" t="s">
        <v>213</v>
      </c>
      <c r="E41" s="4" t="s">
        <v>214</v>
      </c>
      <c r="F41" s="4" t="s">
        <v>215</v>
      </c>
      <c r="G41" s="4" t="s">
        <v>42</v>
      </c>
      <c r="H41" s="4" t="s">
        <v>20</v>
      </c>
      <c r="I41" s="4" t="s">
        <v>22</v>
      </c>
      <c r="J41" s="5" t="s">
        <v>30</v>
      </c>
      <c r="K41" s="5" t="s">
        <v>31</v>
      </c>
      <c r="L41" s="4" t="s">
        <v>216</v>
      </c>
      <c r="M41" s="4" t="s">
        <v>25</v>
      </c>
      <c r="N41" s="7" t="n">
        <v>8</v>
      </c>
    </row>
    <row r="42" customFormat="false" ht="95.5" hidden="false" customHeight="false" outlineLevel="0" collapsed="false">
      <c r="B42" s="8" t="s">
        <v>217</v>
      </c>
      <c r="C42" s="8" t="s">
        <v>131</v>
      </c>
      <c r="D42" s="8" t="s">
        <v>218</v>
      </c>
      <c r="E42" s="8" t="s">
        <v>219</v>
      </c>
      <c r="F42" s="8" t="s">
        <v>220</v>
      </c>
      <c r="G42" s="8" t="s">
        <v>87</v>
      </c>
      <c r="H42" s="8" t="s">
        <v>43</v>
      </c>
      <c r="I42" s="9" t="s">
        <v>21</v>
      </c>
      <c r="J42" s="8" t="s">
        <v>22</v>
      </c>
      <c r="K42" s="11" t="s">
        <v>23</v>
      </c>
      <c r="L42" s="8" t="s">
        <v>221</v>
      </c>
      <c r="M42" s="8" t="s">
        <v>45</v>
      </c>
      <c r="N42" s="10" t="n">
        <v>8</v>
      </c>
    </row>
    <row r="43" customFormat="false" ht="108.95" hidden="false" customHeight="false" outlineLevel="0" collapsed="false">
      <c r="B43" s="4" t="s">
        <v>222</v>
      </c>
      <c r="C43" s="4" t="s">
        <v>131</v>
      </c>
      <c r="D43" s="4" t="s">
        <v>223</v>
      </c>
      <c r="E43" s="4" t="s">
        <v>224</v>
      </c>
      <c r="F43" s="4" t="s">
        <v>225</v>
      </c>
      <c r="G43" s="4" t="s">
        <v>42</v>
      </c>
      <c r="H43" s="4" t="s">
        <v>43</v>
      </c>
      <c r="I43" s="5" t="s">
        <v>21</v>
      </c>
      <c r="J43" s="4" t="s">
        <v>22</v>
      </c>
      <c r="K43" s="6" t="s">
        <v>23</v>
      </c>
      <c r="L43" s="4" t="s">
        <v>226</v>
      </c>
      <c r="M43" s="4" t="s">
        <v>45</v>
      </c>
      <c r="N43" s="7" t="n">
        <v>8</v>
      </c>
    </row>
    <row r="44" customFormat="false" ht="95.5" hidden="false" customHeight="false" outlineLevel="0" collapsed="false">
      <c r="B44" s="8" t="s">
        <v>227</v>
      </c>
      <c r="C44" s="8" t="s">
        <v>131</v>
      </c>
      <c r="D44" s="8" t="s">
        <v>228</v>
      </c>
      <c r="E44" s="8" t="s">
        <v>229</v>
      </c>
      <c r="F44" s="8" t="s">
        <v>230</v>
      </c>
      <c r="G44" s="8" t="s">
        <v>42</v>
      </c>
      <c r="H44" s="8" t="s">
        <v>43</v>
      </c>
      <c r="I44" s="8" t="s">
        <v>22</v>
      </c>
      <c r="J44" s="9" t="s">
        <v>30</v>
      </c>
      <c r="K44" s="9" t="s">
        <v>31</v>
      </c>
      <c r="L44" s="8" t="s">
        <v>231</v>
      </c>
      <c r="M44" s="8" t="s">
        <v>45</v>
      </c>
      <c r="N44" s="10" t="n">
        <v>8.5</v>
      </c>
    </row>
    <row r="45" customFormat="false" ht="108.95" hidden="false" customHeight="false" outlineLevel="0" collapsed="false">
      <c r="B45" s="4" t="s">
        <v>232</v>
      </c>
      <c r="C45" s="4" t="s">
        <v>233</v>
      </c>
      <c r="D45" s="4" t="s">
        <v>234</v>
      </c>
      <c r="E45" s="4" t="s">
        <v>235</v>
      </c>
      <c r="F45" s="4" t="s">
        <v>236</v>
      </c>
      <c r="G45" s="4" t="s">
        <v>87</v>
      </c>
      <c r="H45" s="4" t="s">
        <v>43</v>
      </c>
      <c r="I45" s="5" t="s">
        <v>21</v>
      </c>
      <c r="J45" s="4" t="s">
        <v>22</v>
      </c>
      <c r="K45" s="5" t="s">
        <v>31</v>
      </c>
      <c r="L45" s="4" t="s">
        <v>237</v>
      </c>
      <c r="M45" s="4" t="s">
        <v>45</v>
      </c>
      <c r="N45" s="7" t="n">
        <v>8</v>
      </c>
    </row>
    <row r="46" customFormat="false" ht="95.5" hidden="false" customHeight="false" outlineLevel="0" collapsed="false">
      <c r="B46" s="8" t="s">
        <v>238</v>
      </c>
      <c r="C46" s="8" t="s">
        <v>233</v>
      </c>
      <c r="D46" s="8" t="s">
        <v>239</v>
      </c>
      <c r="E46" s="8" t="s">
        <v>240</v>
      </c>
      <c r="F46" s="8" t="s">
        <v>241</v>
      </c>
      <c r="G46" s="8" t="s">
        <v>42</v>
      </c>
      <c r="H46" s="8" t="s">
        <v>43</v>
      </c>
      <c r="I46" s="9" t="s">
        <v>21</v>
      </c>
      <c r="J46" s="12" t="s">
        <v>88</v>
      </c>
      <c r="K46" s="11" t="s">
        <v>23</v>
      </c>
      <c r="L46" s="8" t="s">
        <v>242</v>
      </c>
      <c r="M46" s="8" t="s">
        <v>45</v>
      </c>
      <c r="N46" s="10" t="n">
        <v>7</v>
      </c>
    </row>
    <row r="47" customFormat="false" ht="108.95" hidden="false" customHeight="false" outlineLevel="0" collapsed="false">
      <c r="B47" s="4" t="s">
        <v>243</v>
      </c>
      <c r="C47" s="4" t="s">
        <v>233</v>
      </c>
      <c r="D47" s="4" t="s">
        <v>244</v>
      </c>
      <c r="E47" s="4" t="s">
        <v>245</v>
      </c>
      <c r="F47" s="4" t="s">
        <v>246</v>
      </c>
      <c r="G47" s="4" t="s">
        <v>42</v>
      </c>
      <c r="H47" s="4" t="s">
        <v>43</v>
      </c>
      <c r="I47" s="5" t="s">
        <v>21</v>
      </c>
      <c r="J47" s="4" t="s">
        <v>22</v>
      </c>
      <c r="K47" s="6" t="s">
        <v>23</v>
      </c>
      <c r="L47" s="4" t="s">
        <v>247</v>
      </c>
      <c r="M47" s="4" t="s">
        <v>45</v>
      </c>
      <c r="N47" s="7" t="n">
        <v>7.5</v>
      </c>
    </row>
    <row r="48" customFormat="false" ht="95.5" hidden="false" customHeight="false" outlineLevel="0" collapsed="false">
      <c r="B48" s="8" t="s">
        <v>248</v>
      </c>
      <c r="C48" s="8" t="s">
        <v>233</v>
      </c>
      <c r="D48" s="8" t="s">
        <v>249</v>
      </c>
      <c r="E48" s="8" t="s">
        <v>250</v>
      </c>
      <c r="F48" s="8" t="s">
        <v>251</v>
      </c>
      <c r="G48" s="8" t="s">
        <v>42</v>
      </c>
      <c r="H48" s="8" t="s">
        <v>43</v>
      </c>
      <c r="I48" s="9" t="s">
        <v>21</v>
      </c>
      <c r="J48" s="8" t="s">
        <v>22</v>
      </c>
      <c r="K48" s="9" t="s">
        <v>31</v>
      </c>
      <c r="L48" s="8" t="s">
        <v>252</v>
      </c>
      <c r="M48" s="8" t="s">
        <v>45</v>
      </c>
      <c r="N48" s="10" t="n">
        <v>7.5</v>
      </c>
    </row>
    <row r="49" customFormat="false" ht="95.5" hidden="false" customHeight="false" outlineLevel="0" collapsed="false">
      <c r="B49" s="4" t="s">
        <v>253</v>
      </c>
      <c r="C49" s="4" t="s">
        <v>233</v>
      </c>
      <c r="D49" s="4" t="s">
        <v>254</v>
      </c>
      <c r="E49" s="4" t="s">
        <v>255</v>
      </c>
      <c r="F49" s="4" t="s">
        <v>256</v>
      </c>
      <c r="G49" s="4" t="s">
        <v>19</v>
      </c>
      <c r="H49" s="4" t="s">
        <v>43</v>
      </c>
      <c r="I49" s="5" t="s">
        <v>21</v>
      </c>
      <c r="J49" s="4" t="s">
        <v>22</v>
      </c>
      <c r="K49" s="6" t="s">
        <v>23</v>
      </c>
      <c r="L49" s="4" t="s">
        <v>257</v>
      </c>
      <c r="M49" s="4" t="s">
        <v>45</v>
      </c>
      <c r="N49" s="7" t="n">
        <v>8</v>
      </c>
    </row>
    <row r="50" customFormat="false" ht="95.5" hidden="false" customHeight="false" outlineLevel="0" collapsed="false">
      <c r="B50" s="8" t="s">
        <v>258</v>
      </c>
      <c r="C50" s="8" t="s">
        <v>233</v>
      </c>
      <c r="D50" s="8" t="s">
        <v>259</v>
      </c>
      <c r="E50" s="8" t="s">
        <v>260</v>
      </c>
      <c r="F50" s="8" t="s">
        <v>261</v>
      </c>
      <c r="G50" s="8" t="s">
        <v>76</v>
      </c>
      <c r="H50" s="8" t="s">
        <v>43</v>
      </c>
      <c r="I50" s="8" t="s">
        <v>22</v>
      </c>
      <c r="J50" s="9" t="s">
        <v>30</v>
      </c>
      <c r="K50" s="9" t="s">
        <v>31</v>
      </c>
      <c r="L50" s="8" t="s">
        <v>262</v>
      </c>
      <c r="M50" s="8" t="s">
        <v>45</v>
      </c>
      <c r="N50" s="10" t="n">
        <v>8.5</v>
      </c>
    </row>
    <row r="51" customFormat="false" ht="108.95" hidden="false" customHeight="false" outlineLevel="0" collapsed="false">
      <c r="B51" s="4" t="s">
        <v>263</v>
      </c>
      <c r="C51" s="4" t="s">
        <v>233</v>
      </c>
      <c r="D51" s="4" t="s">
        <v>264</v>
      </c>
      <c r="E51" s="4" t="s">
        <v>265</v>
      </c>
      <c r="F51" s="4" t="s">
        <v>266</v>
      </c>
      <c r="G51" s="4" t="s">
        <v>76</v>
      </c>
      <c r="H51" s="4" t="s">
        <v>43</v>
      </c>
      <c r="I51" s="4" t="s">
        <v>22</v>
      </c>
      <c r="J51" s="5" t="s">
        <v>30</v>
      </c>
      <c r="K51" s="5" t="s">
        <v>31</v>
      </c>
      <c r="L51" s="4" t="s">
        <v>267</v>
      </c>
      <c r="M51" s="4" t="s">
        <v>45</v>
      </c>
      <c r="N51" s="7" t="n">
        <v>8.5</v>
      </c>
    </row>
    <row r="52" customFormat="false" ht="95.5" hidden="false" customHeight="false" outlineLevel="0" collapsed="false">
      <c r="B52" s="8" t="s">
        <v>268</v>
      </c>
      <c r="C52" s="8" t="s">
        <v>233</v>
      </c>
      <c r="D52" s="8" t="s">
        <v>269</v>
      </c>
      <c r="E52" s="8" t="s">
        <v>270</v>
      </c>
      <c r="F52" s="8" t="s">
        <v>271</v>
      </c>
      <c r="G52" s="8" t="s">
        <v>42</v>
      </c>
      <c r="H52" s="8" t="s">
        <v>43</v>
      </c>
      <c r="I52" s="8" t="s">
        <v>22</v>
      </c>
      <c r="J52" s="8" t="s">
        <v>22</v>
      </c>
      <c r="K52" s="9" t="s">
        <v>31</v>
      </c>
      <c r="L52" s="8" t="s">
        <v>272</v>
      </c>
      <c r="M52" s="8" t="s">
        <v>45</v>
      </c>
      <c r="N52" s="10" t="n">
        <v>7</v>
      </c>
    </row>
    <row r="53" customFormat="false" ht="108.95" hidden="false" customHeight="false" outlineLevel="0" collapsed="false">
      <c r="B53" s="4" t="s">
        <v>273</v>
      </c>
      <c r="C53" s="4" t="s">
        <v>233</v>
      </c>
      <c r="D53" s="4" t="s">
        <v>274</v>
      </c>
      <c r="E53" s="4" t="s">
        <v>275</v>
      </c>
      <c r="F53" s="4" t="s">
        <v>276</v>
      </c>
      <c r="G53" s="4" t="s">
        <v>42</v>
      </c>
      <c r="H53" s="4" t="s">
        <v>43</v>
      </c>
      <c r="I53" s="5" t="s">
        <v>21</v>
      </c>
      <c r="J53" s="13" t="s">
        <v>88</v>
      </c>
      <c r="K53" s="6" t="s">
        <v>23</v>
      </c>
      <c r="L53" s="4" t="s">
        <v>277</v>
      </c>
      <c r="M53" s="4" t="s">
        <v>45</v>
      </c>
      <c r="N53" s="7" t="n">
        <v>7.5</v>
      </c>
    </row>
    <row r="54" customFormat="false" ht="95.5" hidden="false" customHeight="false" outlineLevel="0" collapsed="false">
      <c r="B54" s="8" t="s">
        <v>278</v>
      </c>
      <c r="C54" s="8" t="s">
        <v>233</v>
      </c>
      <c r="D54" s="8" t="s">
        <v>279</v>
      </c>
      <c r="E54" s="8" t="s">
        <v>280</v>
      </c>
      <c r="F54" s="8" t="s">
        <v>281</v>
      </c>
      <c r="G54" s="8" t="s">
        <v>150</v>
      </c>
      <c r="H54" s="8" t="s">
        <v>43</v>
      </c>
      <c r="I54" s="9" t="s">
        <v>21</v>
      </c>
      <c r="J54" s="9" t="s">
        <v>30</v>
      </c>
      <c r="K54" s="11" t="s">
        <v>23</v>
      </c>
      <c r="L54" s="8" t="s">
        <v>282</v>
      </c>
      <c r="M54" s="8" t="s">
        <v>45</v>
      </c>
      <c r="N54" s="10" t="n">
        <v>8.5</v>
      </c>
    </row>
    <row r="55" customFormat="false" ht="95.5" hidden="false" customHeight="false" outlineLevel="0" collapsed="false">
      <c r="B55" s="4" t="s">
        <v>283</v>
      </c>
      <c r="C55" s="4" t="s">
        <v>233</v>
      </c>
      <c r="D55" s="4" t="s">
        <v>284</v>
      </c>
      <c r="E55" s="4" t="s">
        <v>285</v>
      </c>
      <c r="F55" s="4" t="s">
        <v>286</v>
      </c>
      <c r="G55" s="4" t="s">
        <v>42</v>
      </c>
      <c r="H55" s="4" t="s">
        <v>43</v>
      </c>
      <c r="I55" s="4" t="s">
        <v>22</v>
      </c>
      <c r="J55" s="4" t="s">
        <v>22</v>
      </c>
      <c r="K55" s="5" t="s">
        <v>31</v>
      </c>
      <c r="L55" s="4" t="s">
        <v>287</v>
      </c>
      <c r="M55" s="4" t="s">
        <v>45</v>
      </c>
      <c r="N55" s="7" t="n">
        <v>7.5</v>
      </c>
    </row>
    <row r="56" customFormat="false" ht="108.95" hidden="false" customHeight="false" outlineLevel="0" collapsed="false">
      <c r="B56" s="8" t="s">
        <v>288</v>
      </c>
      <c r="C56" s="8" t="s">
        <v>233</v>
      </c>
      <c r="D56" s="8" t="s">
        <v>289</v>
      </c>
      <c r="E56" s="8" t="s">
        <v>290</v>
      </c>
      <c r="F56" s="8" t="s">
        <v>291</v>
      </c>
      <c r="G56" s="8" t="s">
        <v>76</v>
      </c>
      <c r="H56" s="8" t="s">
        <v>43</v>
      </c>
      <c r="I56" s="8" t="s">
        <v>22</v>
      </c>
      <c r="J56" s="9" t="s">
        <v>30</v>
      </c>
      <c r="K56" s="9" t="s">
        <v>31</v>
      </c>
      <c r="L56" s="8" t="s">
        <v>292</v>
      </c>
      <c r="M56" s="8" t="s">
        <v>45</v>
      </c>
      <c r="N56" s="10" t="n">
        <v>8</v>
      </c>
    </row>
    <row r="57" customFormat="false" ht="95.5" hidden="false" customHeight="false" outlineLevel="0" collapsed="false">
      <c r="B57" s="4" t="s">
        <v>293</v>
      </c>
      <c r="C57" s="4" t="s">
        <v>233</v>
      </c>
      <c r="D57" s="4" t="s">
        <v>294</v>
      </c>
      <c r="E57" s="4" t="s">
        <v>295</v>
      </c>
      <c r="F57" s="4" t="s">
        <v>296</v>
      </c>
      <c r="G57" s="4" t="s">
        <v>150</v>
      </c>
      <c r="H57" s="4" t="s">
        <v>43</v>
      </c>
      <c r="I57" s="4" t="s">
        <v>22</v>
      </c>
      <c r="J57" s="5" t="s">
        <v>30</v>
      </c>
      <c r="K57" s="6" t="s">
        <v>23</v>
      </c>
      <c r="L57" s="4" t="s">
        <v>297</v>
      </c>
      <c r="M57" s="4" t="s">
        <v>45</v>
      </c>
      <c r="N57" s="7" t="n">
        <v>8</v>
      </c>
    </row>
    <row r="58" customFormat="false" ht="82.05" hidden="false" customHeight="false" outlineLevel="0" collapsed="false">
      <c r="B58" s="8" t="s">
        <v>298</v>
      </c>
      <c r="C58" s="8" t="s">
        <v>233</v>
      </c>
      <c r="D58" s="8" t="s">
        <v>299</v>
      </c>
      <c r="E58" s="8" t="s">
        <v>300</v>
      </c>
      <c r="F58" s="8" t="s">
        <v>301</v>
      </c>
      <c r="G58" s="8" t="s">
        <v>42</v>
      </c>
      <c r="H58" s="8" t="s">
        <v>43</v>
      </c>
      <c r="I58" s="8" t="s">
        <v>22</v>
      </c>
      <c r="J58" s="8" t="s">
        <v>22</v>
      </c>
      <c r="K58" s="11" t="s">
        <v>23</v>
      </c>
      <c r="L58" s="8" t="s">
        <v>302</v>
      </c>
      <c r="M58" s="8" t="s">
        <v>45</v>
      </c>
      <c r="N58" s="10" t="n">
        <v>7</v>
      </c>
    </row>
    <row r="59" customFormat="false" ht="108.95" hidden="false" customHeight="false" outlineLevel="0" collapsed="false">
      <c r="B59" s="4" t="s">
        <v>303</v>
      </c>
      <c r="C59" s="4" t="s">
        <v>233</v>
      </c>
      <c r="D59" s="4" t="s">
        <v>304</v>
      </c>
      <c r="E59" s="4" t="s">
        <v>305</v>
      </c>
      <c r="F59" s="4" t="s">
        <v>306</v>
      </c>
      <c r="G59" s="4" t="s">
        <v>19</v>
      </c>
      <c r="H59" s="4" t="s">
        <v>20</v>
      </c>
      <c r="I59" s="5" t="s">
        <v>21</v>
      </c>
      <c r="J59" s="5" t="s">
        <v>30</v>
      </c>
      <c r="K59" s="5" t="s">
        <v>31</v>
      </c>
      <c r="L59" s="4" t="s">
        <v>307</v>
      </c>
      <c r="M59" s="4" t="s">
        <v>25</v>
      </c>
      <c r="N59" s="7" t="n">
        <v>9</v>
      </c>
    </row>
    <row r="60" customFormat="false" ht="108.95" hidden="false" customHeight="false" outlineLevel="0" collapsed="false">
      <c r="B60" s="8" t="s">
        <v>308</v>
      </c>
      <c r="C60" s="8" t="s">
        <v>233</v>
      </c>
      <c r="D60" s="8" t="s">
        <v>309</v>
      </c>
      <c r="E60" s="8" t="s">
        <v>310</v>
      </c>
      <c r="F60" s="8" t="s">
        <v>311</v>
      </c>
      <c r="G60" s="8" t="s">
        <v>76</v>
      </c>
      <c r="H60" s="8" t="s">
        <v>43</v>
      </c>
      <c r="I60" s="8" t="s">
        <v>22</v>
      </c>
      <c r="J60" s="8" t="s">
        <v>22</v>
      </c>
      <c r="K60" s="11" t="s">
        <v>23</v>
      </c>
      <c r="L60" s="8" t="s">
        <v>312</v>
      </c>
      <c r="M60" s="8" t="s">
        <v>45</v>
      </c>
      <c r="N60" s="10" t="n">
        <v>7.5</v>
      </c>
    </row>
    <row r="61" customFormat="false" ht="95.5" hidden="false" customHeight="false" outlineLevel="0" collapsed="false">
      <c r="B61" s="4" t="s">
        <v>313</v>
      </c>
      <c r="C61" s="4" t="s">
        <v>233</v>
      </c>
      <c r="D61" s="4" t="s">
        <v>314</v>
      </c>
      <c r="E61" s="4" t="s">
        <v>315</v>
      </c>
      <c r="F61" s="4" t="s">
        <v>316</v>
      </c>
      <c r="G61" s="4" t="s">
        <v>42</v>
      </c>
      <c r="H61" s="4" t="s">
        <v>43</v>
      </c>
      <c r="I61" s="5" t="s">
        <v>21</v>
      </c>
      <c r="J61" s="5" t="s">
        <v>30</v>
      </c>
      <c r="K61" s="6" t="s">
        <v>23</v>
      </c>
      <c r="L61" s="4" t="s">
        <v>317</v>
      </c>
      <c r="M61" s="4" t="s">
        <v>45</v>
      </c>
      <c r="N61" s="7" t="n">
        <v>8</v>
      </c>
    </row>
    <row r="62" customFormat="false" ht="95.5" hidden="false" customHeight="false" outlineLevel="0" collapsed="false">
      <c r="B62" s="8" t="s">
        <v>318</v>
      </c>
      <c r="C62" s="8" t="s">
        <v>233</v>
      </c>
      <c r="D62" s="8" t="s">
        <v>319</v>
      </c>
      <c r="E62" s="8" t="s">
        <v>320</v>
      </c>
      <c r="F62" s="8" t="s">
        <v>321</v>
      </c>
      <c r="G62" s="8" t="s">
        <v>42</v>
      </c>
      <c r="H62" s="8" t="s">
        <v>43</v>
      </c>
      <c r="I62" s="8" t="s">
        <v>22</v>
      </c>
      <c r="J62" s="8" t="s">
        <v>22</v>
      </c>
      <c r="K62" s="9" t="s">
        <v>31</v>
      </c>
      <c r="L62" s="8" t="s">
        <v>322</v>
      </c>
      <c r="M62" s="8" t="s">
        <v>45</v>
      </c>
      <c r="N62" s="10" t="n">
        <v>7.5</v>
      </c>
    </row>
    <row r="63" customFormat="false" ht="95.5" hidden="false" customHeight="false" outlineLevel="0" collapsed="false">
      <c r="B63" s="4" t="s">
        <v>323</v>
      </c>
      <c r="C63" s="4" t="s">
        <v>233</v>
      </c>
      <c r="D63" s="4" t="s">
        <v>324</v>
      </c>
      <c r="E63" s="4" t="s">
        <v>325</v>
      </c>
      <c r="F63" s="4" t="s">
        <v>326</v>
      </c>
      <c r="G63" s="4" t="s">
        <v>87</v>
      </c>
      <c r="H63" s="4" t="s">
        <v>43</v>
      </c>
      <c r="I63" s="5" t="s">
        <v>21</v>
      </c>
      <c r="J63" s="4" t="s">
        <v>22</v>
      </c>
      <c r="K63" s="5" t="s">
        <v>31</v>
      </c>
      <c r="L63" s="4" t="s">
        <v>327</v>
      </c>
      <c r="M63" s="4" t="s">
        <v>45</v>
      </c>
      <c r="N63" s="7" t="n">
        <v>7.5</v>
      </c>
    </row>
    <row r="64" customFormat="false" ht="95.5" hidden="false" customHeight="false" outlineLevel="0" collapsed="false">
      <c r="B64" s="8" t="s">
        <v>328</v>
      </c>
      <c r="C64" s="8" t="s">
        <v>233</v>
      </c>
      <c r="D64" s="8" t="s">
        <v>329</v>
      </c>
      <c r="E64" s="8" t="s">
        <v>330</v>
      </c>
      <c r="F64" s="8" t="s">
        <v>331</v>
      </c>
      <c r="G64" s="8" t="s">
        <v>87</v>
      </c>
      <c r="H64" s="8" t="s">
        <v>43</v>
      </c>
      <c r="I64" s="8" t="s">
        <v>22</v>
      </c>
      <c r="J64" s="9" t="s">
        <v>30</v>
      </c>
      <c r="K64" s="11" t="s">
        <v>23</v>
      </c>
      <c r="L64" s="8" t="s">
        <v>332</v>
      </c>
      <c r="M64" s="8" t="s">
        <v>45</v>
      </c>
      <c r="N64" s="10" t="n">
        <v>8</v>
      </c>
    </row>
    <row r="65" customFormat="false" ht="95.5" hidden="false" customHeight="false" outlineLevel="0" collapsed="false">
      <c r="B65" s="4" t="s">
        <v>333</v>
      </c>
      <c r="C65" s="4" t="s">
        <v>334</v>
      </c>
      <c r="D65" s="4" t="s">
        <v>335</v>
      </c>
      <c r="E65" s="4" t="s">
        <v>336</v>
      </c>
      <c r="F65" s="4" t="s">
        <v>337</v>
      </c>
      <c r="G65" s="4" t="s">
        <v>87</v>
      </c>
      <c r="H65" s="4" t="s">
        <v>20</v>
      </c>
      <c r="I65" s="5" t="s">
        <v>21</v>
      </c>
      <c r="J65" s="5" t="s">
        <v>30</v>
      </c>
      <c r="K65" s="6" t="s">
        <v>23</v>
      </c>
      <c r="L65" s="4" t="s">
        <v>338</v>
      </c>
      <c r="M65" s="4" t="s">
        <v>339</v>
      </c>
      <c r="N65" s="7" t="n">
        <v>9.5</v>
      </c>
    </row>
    <row r="66" customFormat="false" ht="95.5" hidden="false" customHeight="false" outlineLevel="0" collapsed="false">
      <c r="B66" s="8" t="s">
        <v>340</v>
      </c>
      <c r="C66" s="8" t="s">
        <v>334</v>
      </c>
      <c r="D66" s="8" t="s">
        <v>341</v>
      </c>
      <c r="E66" s="8" t="s">
        <v>342</v>
      </c>
      <c r="F66" s="8" t="s">
        <v>343</v>
      </c>
      <c r="G66" s="8" t="s">
        <v>87</v>
      </c>
      <c r="H66" s="8" t="s">
        <v>20</v>
      </c>
      <c r="I66" s="9" t="s">
        <v>21</v>
      </c>
      <c r="J66" s="9" t="s">
        <v>30</v>
      </c>
      <c r="K66" s="14" t="s">
        <v>344</v>
      </c>
      <c r="L66" s="8" t="s">
        <v>345</v>
      </c>
      <c r="M66" s="8" t="s">
        <v>339</v>
      </c>
      <c r="N66" s="10" t="n">
        <v>9.5</v>
      </c>
    </row>
    <row r="67" customFormat="false" ht="108.95" hidden="false" customHeight="false" outlineLevel="0" collapsed="false">
      <c r="B67" s="4" t="s">
        <v>346</v>
      </c>
      <c r="C67" s="4" t="s">
        <v>334</v>
      </c>
      <c r="D67" s="4" t="s">
        <v>347</v>
      </c>
      <c r="E67" s="4" t="s">
        <v>348</v>
      </c>
      <c r="F67" s="4" t="s">
        <v>349</v>
      </c>
      <c r="G67" s="4" t="s">
        <v>87</v>
      </c>
      <c r="H67" s="4" t="s">
        <v>43</v>
      </c>
      <c r="I67" s="5" t="s">
        <v>21</v>
      </c>
      <c r="J67" s="4" t="s">
        <v>22</v>
      </c>
      <c r="K67" s="6" t="s">
        <v>23</v>
      </c>
      <c r="L67" s="4" t="s">
        <v>350</v>
      </c>
      <c r="M67" s="4" t="s">
        <v>45</v>
      </c>
      <c r="N67" s="7" t="n">
        <v>8</v>
      </c>
    </row>
    <row r="68" customFormat="false" ht="108.95" hidden="false" customHeight="false" outlineLevel="0" collapsed="false">
      <c r="B68" s="8" t="s">
        <v>351</v>
      </c>
      <c r="C68" s="8" t="s">
        <v>334</v>
      </c>
      <c r="D68" s="8" t="s">
        <v>352</v>
      </c>
      <c r="E68" s="8" t="s">
        <v>353</v>
      </c>
      <c r="F68" s="8" t="s">
        <v>354</v>
      </c>
      <c r="G68" s="8" t="s">
        <v>19</v>
      </c>
      <c r="H68" s="8" t="s">
        <v>20</v>
      </c>
      <c r="I68" s="9" t="s">
        <v>21</v>
      </c>
      <c r="J68" s="9" t="s">
        <v>30</v>
      </c>
      <c r="K68" s="9" t="s">
        <v>31</v>
      </c>
      <c r="L68" s="8" t="s">
        <v>355</v>
      </c>
      <c r="M68" s="8" t="s">
        <v>25</v>
      </c>
      <c r="N68" s="10" t="n">
        <v>9</v>
      </c>
    </row>
    <row r="69" customFormat="false" ht="108.95" hidden="false" customHeight="false" outlineLevel="0" collapsed="false">
      <c r="B69" s="4" t="s">
        <v>356</v>
      </c>
      <c r="C69" s="4" t="s">
        <v>334</v>
      </c>
      <c r="D69" s="4" t="s">
        <v>357</v>
      </c>
      <c r="E69" s="4" t="s">
        <v>358</v>
      </c>
      <c r="F69" s="4" t="s">
        <v>359</v>
      </c>
      <c r="G69" s="4" t="s">
        <v>150</v>
      </c>
      <c r="H69" s="4" t="s">
        <v>20</v>
      </c>
      <c r="I69" s="5" t="s">
        <v>21</v>
      </c>
      <c r="J69" s="4" t="s">
        <v>22</v>
      </c>
      <c r="K69" s="6" t="s">
        <v>23</v>
      </c>
      <c r="L69" s="4" t="s">
        <v>360</v>
      </c>
      <c r="M69" s="4" t="s">
        <v>25</v>
      </c>
      <c r="N69" s="7" t="n">
        <v>9</v>
      </c>
    </row>
    <row r="70" customFormat="false" ht="95.5" hidden="false" customHeight="false" outlineLevel="0" collapsed="false">
      <c r="B70" s="8" t="s">
        <v>361</v>
      </c>
      <c r="C70" s="8" t="s">
        <v>334</v>
      </c>
      <c r="D70" s="8" t="s">
        <v>362</v>
      </c>
      <c r="E70" s="8" t="s">
        <v>363</v>
      </c>
      <c r="F70" s="8" t="s">
        <v>364</v>
      </c>
      <c r="G70" s="8" t="s">
        <v>150</v>
      </c>
      <c r="H70" s="8" t="s">
        <v>20</v>
      </c>
      <c r="I70" s="9" t="s">
        <v>21</v>
      </c>
      <c r="J70" s="8" t="s">
        <v>22</v>
      </c>
      <c r="K70" s="11" t="s">
        <v>23</v>
      </c>
      <c r="L70" s="8" t="s">
        <v>365</v>
      </c>
      <c r="M70" s="8" t="s">
        <v>45</v>
      </c>
      <c r="N70" s="10" t="n">
        <v>8.5</v>
      </c>
    </row>
    <row r="71" customFormat="false" ht="95.5" hidden="false" customHeight="false" outlineLevel="0" collapsed="false">
      <c r="B71" s="4" t="s">
        <v>366</v>
      </c>
      <c r="C71" s="4" t="s">
        <v>334</v>
      </c>
      <c r="D71" s="4" t="s">
        <v>367</v>
      </c>
      <c r="E71" s="4" t="s">
        <v>368</v>
      </c>
      <c r="F71" s="4" t="s">
        <v>369</v>
      </c>
      <c r="G71" s="4" t="s">
        <v>42</v>
      </c>
      <c r="H71" s="4" t="s">
        <v>43</v>
      </c>
      <c r="I71" s="5" t="s">
        <v>21</v>
      </c>
      <c r="J71" s="13" t="s">
        <v>88</v>
      </c>
      <c r="K71" s="6" t="s">
        <v>23</v>
      </c>
      <c r="L71" s="4" t="s">
        <v>370</v>
      </c>
      <c r="M71" s="4" t="s">
        <v>45</v>
      </c>
      <c r="N71" s="7" t="n">
        <v>8</v>
      </c>
    </row>
    <row r="72" customFormat="false" ht="95.5" hidden="false" customHeight="false" outlineLevel="0" collapsed="false">
      <c r="B72" s="8" t="s">
        <v>371</v>
      </c>
      <c r="C72" s="8" t="s">
        <v>334</v>
      </c>
      <c r="D72" s="8" t="s">
        <v>372</v>
      </c>
      <c r="E72" s="8" t="s">
        <v>373</v>
      </c>
      <c r="F72" s="8" t="s">
        <v>374</v>
      </c>
      <c r="G72" s="8" t="s">
        <v>19</v>
      </c>
      <c r="H72" s="8" t="s">
        <v>20</v>
      </c>
      <c r="I72" s="9" t="s">
        <v>21</v>
      </c>
      <c r="J72" s="9" t="s">
        <v>30</v>
      </c>
      <c r="K72" s="11" t="s">
        <v>23</v>
      </c>
      <c r="L72" s="8" t="s">
        <v>375</v>
      </c>
      <c r="M72" s="8" t="s">
        <v>339</v>
      </c>
      <c r="N72" s="10" t="n">
        <v>9</v>
      </c>
    </row>
    <row r="73" customFormat="false" ht="95.5" hidden="false" customHeight="false" outlineLevel="0" collapsed="false">
      <c r="B73" s="4" t="s">
        <v>376</v>
      </c>
      <c r="C73" s="4" t="s">
        <v>334</v>
      </c>
      <c r="D73" s="4" t="s">
        <v>377</v>
      </c>
      <c r="E73" s="4" t="s">
        <v>378</v>
      </c>
      <c r="F73" s="4" t="s">
        <v>379</v>
      </c>
      <c r="G73" s="4" t="s">
        <v>87</v>
      </c>
      <c r="H73" s="4" t="s">
        <v>20</v>
      </c>
      <c r="I73" s="4" t="s">
        <v>22</v>
      </c>
      <c r="J73" s="5" t="s">
        <v>30</v>
      </c>
      <c r="K73" s="6" t="s">
        <v>23</v>
      </c>
      <c r="L73" s="4" t="s">
        <v>380</v>
      </c>
      <c r="M73" s="4" t="s">
        <v>25</v>
      </c>
      <c r="N73" s="7" t="n">
        <v>8</v>
      </c>
    </row>
    <row r="74" customFormat="false" ht="108.95" hidden="false" customHeight="false" outlineLevel="0" collapsed="false">
      <c r="B74" s="8" t="s">
        <v>381</v>
      </c>
      <c r="C74" s="8" t="s">
        <v>334</v>
      </c>
      <c r="D74" s="8" t="s">
        <v>382</v>
      </c>
      <c r="E74" s="8" t="s">
        <v>383</v>
      </c>
      <c r="F74" s="8" t="s">
        <v>384</v>
      </c>
      <c r="G74" s="8" t="s">
        <v>150</v>
      </c>
      <c r="H74" s="8" t="s">
        <v>43</v>
      </c>
      <c r="I74" s="8" t="s">
        <v>22</v>
      </c>
      <c r="J74" s="8" t="s">
        <v>22</v>
      </c>
      <c r="K74" s="11" t="s">
        <v>23</v>
      </c>
      <c r="L74" s="8" t="s">
        <v>385</v>
      </c>
      <c r="M74" s="8" t="s">
        <v>45</v>
      </c>
      <c r="N74" s="10" t="n">
        <v>7.5</v>
      </c>
    </row>
    <row r="75" customFormat="false" ht="95.5" hidden="false" customHeight="false" outlineLevel="0" collapsed="false">
      <c r="B75" s="4" t="s">
        <v>386</v>
      </c>
      <c r="C75" s="4" t="s">
        <v>334</v>
      </c>
      <c r="D75" s="4" t="s">
        <v>387</v>
      </c>
      <c r="E75" s="4" t="s">
        <v>388</v>
      </c>
      <c r="F75" s="4" t="s">
        <v>389</v>
      </c>
      <c r="G75" s="4" t="s">
        <v>42</v>
      </c>
      <c r="H75" s="4" t="s">
        <v>43</v>
      </c>
      <c r="I75" s="4" t="s">
        <v>22</v>
      </c>
      <c r="J75" s="4" t="s">
        <v>22</v>
      </c>
      <c r="K75" s="6" t="s">
        <v>23</v>
      </c>
      <c r="L75" s="4" t="s">
        <v>390</v>
      </c>
      <c r="M75" s="4" t="s">
        <v>45</v>
      </c>
      <c r="N75" s="7" t="n">
        <v>7.5</v>
      </c>
    </row>
    <row r="76" customFormat="false" ht="95.5" hidden="false" customHeight="false" outlineLevel="0" collapsed="false">
      <c r="B76" s="8" t="s">
        <v>391</v>
      </c>
      <c r="C76" s="8" t="s">
        <v>334</v>
      </c>
      <c r="D76" s="8" t="s">
        <v>392</v>
      </c>
      <c r="E76" s="8" t="s">
        <v>393</v>
      </c>
      <c r="F76" s="8" t="s">
        <v>394</v>
      </c>
      <c r="G76" s="8" t="s">
        <v>42</v>
      </c>
      <c r="H76" s="8" t="s">
        <v>43</v>
      </c>
      <c r="I76" s="8" t="s">
        <v>22</v>
      </c>
      <c r="J76" s="8" t="s">
        <v>22</v>
      </c>
      <c r="K76" s="9" t="s">
        <v>31</v>
      </c>
      <c r="L76" s="8" t="s">
        <v>395</v>
      </c>
      <c r="M76" s="8" t="s">
        <v>45</v>
      </c>
      <c r="N76" s="10" t="n">
        <v>7.5</v>
      </c>
    </row>
    <row r="77" customFormat="false" ht="95.5" hidden="false" customHeight="false" outlineLevel="0" collapsed="false">
      <c r="B77" s="4" t="s">
        <v>396</v>
      </c>
      <c r="C77" s="4" t="s">
        <v>334</v>
      </c>
      <c r="D77" s="4" t="s">
        <v>397</v>
      </c>
      <c r="E77" s="4" t="s">
        <v>398</v>
      </c>
      <c r="F77" s="4" t="s">
        <v>399</v>
      </c>
      <c r="G77" s="4" t="s">
        <v>87</v>
      </c>
      <c r="H77" s="4" t="s">
        <v>20</v>
      </c>
      <c r="I77" s="4" t="s">
        <v>22</v>
      </c>
      <c r="J77" s="13" t="s">
        <v>88</v>
      </c>
      <c r="K77" s="5" t="s">
        <v>31</v>
      </c>
      <c r="L77" s="4" t="s">
        <v>400</v>
      </c>
      <c r="M77" s="4" t="s">
        <v>25</v>
      </c>
      <c r="N77" s="7" t="n">
        <v>7</v>
      </c>
    </row>
    <row r="78" customFormat="false" ht="95.5" hidden="false" customHeight="false" outlineLevel="0" collapsed="false">
      <c r="B78" s="8" t="s">
        <v>401</v>
      </c>
      <c r="C78" s="8" t="s">
        <v>334</v>
      </c>
      <c r="D78" s="8" t="s">
        <v>402</v>
      </c>
      <c r="E78" s="8" t="s">
        <v>403</v>
      </c>
      <c r="F78" s="8" t="s">
        <v>404</v>
      </c>
      <c r="G78" s="8" t="s">
        <v>42</v>
      </c>
      <c r="H78" s="8" t="s">
        <v>43</v>
      </c>
      <c r="I78" s="8" t="s">
        <v>22</v>
      </c>
      <c r="J78" s="9" t="s">
        <v>30</v>
      </c>
      <c r="K78" s="11" t="s">
        <v>23</v>
      </c>
      <c r="L78" s="8" t="s">
        <v>405</v>
      </c>
      <c r="M78" s="8" t="s">
        <v>45</v>
      </c>
      <c r="N78" s="10" t="n">
        <v>7.5</v>
      </c>
    </row>
    <row r="79" customFormat="false" ht="95.5" hidden="false" customHeight="false" outlineLevel="0" collapsed="false">
      <c r="B79" s="4" t="s">
        <v>406</v>
      </c>
      <c r="C79" s="4" t="s">
        <v>334</v>
      </c>
      <c r="D79" s="4" t="s">
        <v>407</v>
      </c>
      <c r="E79" s="4" t="s">
        <v>408</v>
      </c>
      <c r="F79" s="4" t="s">
        <v>409</v>
      </c>
      <c r="G79" s="4" t="s">
        <v>50</v>
      </c>
      <c r="H79" s="4" t="s">
        <v>43</v>
      </c>
      <c r="I79" s="5" t="s">
        <v>21</v>
      </c>
      <c r="J79" s="4" t="s">
        <v>22</v>
      </c>
      <c r="K79" s="6" t="s">
        <v>23</v>
      </c>
      <c r="L79" s="4" t="s">
        <v>410</v>
      </c>
      <c r="M79" s="4" t="s">
        <v>45</v>
      </c>
      <c r="N79" s="7" t="n">
        <v>8</v>
      </c>
    </row>
    <row r="80" customFormat="false" ht="108.95" hidden="false" customHeight="false" outlineLevel="0" collapsed="false">
      <c r="B80" s="8" t="s">
        <v>411</v>
      </c>
      <c r="C80" s="8" t="s">
        <v>334</v>
      </c>
      <c r="D80" s="8" t="s">
        <v>412</v>
      </c>
      <c r="E80" s="8" t="s">
        <v>413</v>
      </c>
      <c r="F80" s="8" t="s">
        <v>414</v>
      </c>
      <c r="G80" s="8" t="s">
        <v>19</v>
      </c>
      <c r="H80" s="8" t="s">
        <v>20</v>
      </c>
      <c r="I80" s="8" t="s">
        <v>22</v>
      </c>
      <c r="J80" s="9" t="s">
        <v>30</v>
      </c>
      <c r="K80" s="9" t="s">
        <v>31</v>
      </c>
      <c r="L80" s="8" t="s">
        <v>415</v>
      </c>
      <c r="M80" s="8" t="s">
        <v>25</v>
      </c>
      <c r="N80" s="10" t="n">
        <v>8</v>
      </c>
    </row>
    <row r="81" customFormat="false" ht="95.5" hidden="false" customHeight="false" outlineLevel="0" collapsed="false">
      <c r="B81" s="4" t="s">
        <v>416</v>
      </c>
      <c r="C81" s="4" t="s">
        <v>334</v>
      </c>
      <c r="D81" s="4" t="s">
        <v>417</v>
      </c>
      <c r="E81" s="4" t="s">
        <v>418</v>
      </c>
      <c r="F81" s="4" t="s">
        <v>419</v>
      </c>
      <c r="G81" s="4" t="s">
        <v>87</v>
      </c>
      <c r="H81" s="4" t="s">
        <v>20</v>
      </c>
      <c r="I81" s="4" t="s">
        <v>22</v>
      </c>
      <c r="J81" s="5" t="s">
        <v>30</v>
      </c>
      <c r="K81" s="6" t="s">
        <v>23</v>
      </c>
      <c r="L81" s="4" t="s">
        <v>420</v>
      </c>
      <c r="M81" s="4" t="s">
        <v>339</v>
      </c>
      <c r="N81" s="7" t="n">
        <v>8.5</v>
      </c>
    </row>
    <row r="82" customFormat="false" ht="95.5" hidden="false" customHeight="false" outlineLevel="0" collapsed="false">
      <c r="B82" s="8" t="s">
        <v>421</v>
      </c>
      <c r="C82" s="8" t="s">
        <v>334</v>
      </c>
      <c r="D82" s="8" t="s">
        <v>422</v>
      </c>
      <c r="E82" s="8" t="s">
        <v>423</v>
      </c>
      <c r="F82" s="8" t="s">
        <v>424</v>
      </c>
      <c r="G82" s="8" t="s">
        <v>42</v>
      </c>
      <c r="H82" s="8" t="s">
        <v>43</v>
      </c>
      <c r="I82" s="9" t="s">
        <v>21</v>
      </c>
      <c r="J82" s="9" t="s">
        <v>30</v>
      </c>
      <c r="K82" s="11" t="s">
        <v>23</v>
      </c>
      <c r="L82" s="8" t="s">
        <v>425</v>
      </c>
      <c r="M82" s="8" t="s">
        <v>25</v>
      </c>
      <c r="N82" s="10" t="n">
        <v>8</v>
      </c>
    </row>
    <row r="83" customFormat="false" ht="108.95" hidden="false" customHeight="false" outlineLevel="0" collapsed="false">
      <c r="B83" s="4" t="s">
        <v>426</v>
      </c>
      <c r="C83" s="4" t="s">
        <v>334</v>
      </c>
      <c r="D83" s="4" t="s">
        <v>427</v>
      </c>
      <c r="E83" s="4" t="s">
        <v>428</v>
      </c>
      <c r="F83" s="4" t="s">
        <v>429</v>
      </c>
      <c r="G83" s="4" t="s">
        <v>42</v>
      </c>
      <c r="H83" s="4" t="s">
        <v>20</v>
      </c>
      <c r="I83" s="5" t="s">
        <v>21</v>
      </c>
      <c r="J83" s="4" t="s">
        <v>22</v>
      </c>
      <c r="K83" s="5" t="s">
        <v>31</v>
      </c>
      <c r="L83" s="4" t="s">
        <v>430</v>
      </c>
      <c r="M83" s="4" t="s">
        <v>45</v>
      </c>
      <c r="N83" s="7" t="n">
        <v>8</v>
      </c>
    </row>
    <row r="84" customFormat="false" ht="95.5" hidden="false" customHeight="false" outlineLevel="0" collapsed="false">
      <c r="B84" s="8" t="s">
        <v>431</v>
      </c>
      <c r="C84" s="8" t="s">
        <v>334</v>
      </c>
      <c r="D84" s="8" t="s">
        <v>432</v>
      </c>
      <c r="E84" s="8" t="s">
        <v>433</v>
      </c>
      <c r="F84" s="8" t="s">
        <v>434</v>
      </c>
      <c r="G84" s="8" t="s">
        <v>42</v>
      </c>
      <c r="H84" s="8" t="s">
        <v>43</v>
      </c>
      <c r="I84" s="8" t="s">
        <v>22</v>
      </c>
      <c r="J84" s="9" t="s">
        <v>30</v>
      </c>
      <c r="K84" s="9" t="s">
        <v>31</v>
      </c>
      <c r="L84" s="8" t="s">
        <v>435</v>
      </c>
      <c r="M84" s="8" t="s">
        <v>45</v>
      </c>
      <c r="N84" s="10" t="n">
        <v>8</v>
      </c>
    </row>
    <row r="85" customFormat="false" ht="108.95" hidden="false" customHeight="false" outlineLevel="0" collapsed="false">
      <c r="B85" s="4" t="s">
        <v>436</v>
      </c>
      <c r="C85" s="4" t="s">
        <v>437</v>
      </c>
      <c r="D85" s="4" t="s">
        <v>438</v>
      </c>
      <c r="E85" s="4" t="s">
        <v>439</v>
      </c>
      <c r="F85" s="4" t="s">
        <v>440</v>
      </c>
      <c r="G85" s="4" t="s">
        <v>19</v>
      </c>
      <c r="H85" s="4" t="s">
        <v>20</v>
      </c>
      <c r="I85" s="5" t="s">
        <v>21</v>
      </c>
      <c r="J85" s="5" t="s">
        <v>30</v>
      </c>
      <c r="K85" s="6" t="s">
        <v>23</v>
      </c>
      <c r="L85" s="4" t="s">
        <v>441</v>
      </c>
      <c r="M85" s="4" t="s">
        <v>25</v>
      </c>
      <c r="N85" s="7" t="n">
        <v>9</v>
      </c>
    </row>
    <row r="86" customFormat="false" ht="108.95" hidden="false" customHeight="false" outlineLevel="0" collapsed="false">
      <c r="B86" s="8" t="s">
        <v>442</v>
      </c>
      <c r="C86" s="8" t="s">
        <v>437</v>
      </c>
      <c r="D86" s="8" t="s">
        <v>443</v>
      </c>
      <c r="E86" s="8" t="s">
        <v>444</v>
      </c>
      <c r="F86" s="8" t="s">
        <v>445</v>
      </c>
      <c r="G86" s="8" t="s">
        <v>87</v>
      </c>
      <c r="H86" s="8" t="s">
        <v>20</v>
      </c>
      <c r="I86" s="9" t="s">
        <v>21</v>
      </c>
      <c r="J86" s="8" t="s">
        <v>22</v>
      </c>
      <c r="K86" s="11" t="s">
        <v>23</v>
      </c>
      <c r="L86" s="8" t="s">
        <v>446</v>
      </c>
      <c r="M86" s="8" t="s">
        <v>25</v>
      </c>
      <c r="N86" s="10" t="n">
        <v>8.5</v>
      </c>
    </row>
    <row r="87" customFormat="false" ht="95.5" hidden="false" customHeight="false" outlineLevel="0" collapsed="false">
      <c r="B87" s="4" t="s">
        <v>447</v>
      </c>
      <c r="C87" s="4" t="s">
        <v>437</v>
      </c>
      <c r="D87" s="4" t="s">
        <v>448</v>
      </c>
      <c r="E87" s="4" t="s">
        <v>449</v>
      </c>
      <c r="F87" s="4" t="s">
        <v>450</v>
      </c>
      <c r="G87" s="4" t="s">
        <v>42</v>
      </c>
      <c r="H87" s="4" t="s">
        <v>43</v>
      </c>
      <c r="I87" s="5" t="s">
        <v>21</v>
      </c>
      <c r="J87" s="13" t="s">
        <v>88</v>
      </c>
      <c r="K87" s="6" t="s">
        <v>23</v>
      </c>
      <c r="L87" s="4" t="s">
        <v>451</v>
      </c>
      <c r="M87" s="4" t="s">
        <v>45</v>
      </c>
      <c r="N87" s="7" t="n">
        <v>7.5</v>
      </c>
    </row>
    <row r="88" customFormat="false" ht="95.5" hidden="false" customHeight="false" outlineLevel="0" collapsed="false">
      <c r="B88" s="8" t="s">
        <v>452</v>
      </c>
      <c r="C88" s="8" t="s">
        <v>437</v>
      </c>
      <c r="D88" s="8" t="s">
        <v>453</v>
      </c>
      <c r="E88" s="8" t="s">
        <v>454</v>
      </c>
      <c r="F88" s="8" t="s">
        <v>455</v>
      </c>
      <c r="G88" s="8" t="s">
        <v>76</v>
      </c>
      <c r="H88" s="8" t="s">
        <v>20</v>
      </c>
      <c r="I88" s="9" t="s">
        <v>21</v>
      </c>
      <c r="J88" s="9" t="s">
        <v>30</v>
      </c>
      <c r="K88" s="9" t="s">
        <v>31</v>
      </c>
      <c r="L88" s="8" t="s">
        <v>456</v>
      </c>
      <c r="M88" s="8" t="s">
        <v>25</v>
      </c>
      <c r="N88" s="10" t="n">
        <v>9</v>
      </c>
    </row>
    <row r="89" customFormat="false" ht="95.5" hidden="false" customHeight="false" outlineLevel="0" collapsed="false">
      <c r="B89" s="4" t="s">
        <v>457</v>
      </c>
      <c r="C89" s="4" t="s">
        <v>437</v>
      </c>
      <c r="D89" s="4" t="s">
        <v>458</v>
      </c>
      <c r="E89" s="4" t="s">
        <v>459</v>
      </c>
      <c r="F89" s="4" t="s">
        <v>460</v>
      </c>
      <c r="G89" s="4" t="s">
        <v>150</v>
      </c>
      <c r="H89" s="4" t="s">
        <v>20</v>
      </c>
      <c r="I89" s="5" t="s">
        <v>21</v>
      </c>
      <c r="J89" s="4" t="s">
        <v>22</v>
      </c>
      <c r="K89" s="5" t="s">
        <v>31</v>
      </c>
      <c r="L89" s="4" t="s">
        <v>461</v>
      </c>
      <c r="M89" s="4" t="s">
        <v>25</v>
      </c>
      <c r="N89" s="7" t="n">
        <v>8.5</v>
      </c>
    </row>
    <row r="90" customFormat="false" ht="95.5" hidden="false" customHeight="false" outlineLevel="0" collapsed="false">
      <c r="B90" s="8" t="s">
        <v>462</v>
      </c>
      <c r="C90" s="8" t="s">
        <v>437</v>
      </c>
      <c r="D90" s="8" t="s">
        <v>463</v>
      </c>
      <c r="E90" s="8" t="s">
        <v>464</v>
      </c>
      <c r="F90" s="8" t="s">
        <v>465</v>
      </c>
      <c r="G90" s="8" t="s">
        <v>150</v>
      </c>
      <c r="H90" s="8" t="s">
        <v>43</v>
      </c>
      <c r="I90" s="9" t="s">
        <v>21</v>
      </c>
      <c r="J90" s="8" t="s">
        <v>22</v>
      </c>
      <c r="K90" s="11" t="s">
        <v>23</v>
      </c>
      <c r="L90" s="8" t="s">
        <v>466</v>
      </c>
      <c r="M90" s="8" t="s">
        <v>45</v>
      </c>
      <c r="N90" s="10" t="n">
        <v>7.5</v>
      </c>
    </row>
    <row r="91" customFormat="false" ht="95.5" hidden="false" customHeight="false" outlineLevel="0" collapsed="false">
      <c r="B91" s="4" t="s">
        <v>467</v>
      </c>
      <c r="C91" s="4" t="s">
        <v>437</v>
      </c>
      <c r="D91" s="4" t="s">
        <v>468</v>
      </c>
      <c r="E91" s="4" t="s">
        <v>469</v>
      </c>
      <c r="F91" s="4" t="s">
        <v>470</v>
      </c>
      <c r="G91" s="4" t="s">
        <v>150</v>
      </c>
      <c r="H91" s="4" t="s">
        <v>20</v>
      </c>
      <c r="I91" s="4" t="s">
        <v>22</v>
      </c>
      <c r="J91" s="5" t="s">
        <v>30</v>
      </c>
      <c r="K91" s="6" t="s">
        <v>23</v>
      </c>
      <c r="L91" s="4" t="s">
        <v>471</v>
      </c>
      <c r="M91" s="4" t="s">
        <v>45</v>
      </c>
      <c r="N91" s="7" t="n">
        <v>8</v>
      </c>
    </row>
    <row r="92" customFormat="false" ht="108.95" hidden="false" customHeight="false" outlineLevel="0" collapsed="false">
      <c r="B92" s="8" t="s">
        <v>472</v>
      </c>
      <c r="C92" s="8" t="s">
        <v>437</v>
      </c>
      <c r="D92" s="8" t="s">
        <v>473</v>
      </c>
      <c r="E92" s="8" t="s">
        <v>474</v>
      </c>
      <c r="F92" s="8" t="s">
        <v>475</v>
      </c>
      <c r="G92" s="8" t="s">
        <v>42</v>
      </c>
      <c r="H92" s="8" t="s">
        <v>20</v>
      </c>
      <c r="I92" s="8" t="s">
        <v>22</v>
      </c>
      <c r="J92" s="8" t="s">
        <v>22</v>
      </c>
      <c r="K92" s="9" t="s">
        <v>31</v>
      </c>
      <c r="L92" s="8" t="s">
        <v>476</v>
      </c>
      <c r="M92" s="8" t="s">
        <v>45</v>
      </c>
      <c r="N92" s="10" t="n">
        <v>7.5</v>
      </c>
    </row>
    <row r="93" customFormat="false" ht="95.5" hidden="false" customHeight="false" outlineLevel="0" collapsed="false">
      <c r="B93" s="4" t="s">
        <v>477</v>
      </c>
      <c r="C93" s="4" t="s">
        <v>437</v>
      </c>
      <c r="D93" s="4" t="s">
        <v>478</v>
      </c>
      <c r="E93" s="4" t="s">
        <v>479</v>
      </c>
      <c r="F93" s="4" t="s">
        <v>480</v>
      </c>
      <c r="G93" s="4" t="s">
        <v>150</v>
      </c>
      <c r="H93" s="4" t="s">
        <v>43</v>
      </c>
      <c r="I93" s="5" t="s">
        <v>21</v>
      </c>
      <c r="J93" s="4" t="s">
        <v>22</v>
      </c>
      <c r="K93" s="6" t="s">
        <v>23</v>
      </c>
      <c r="L93" s="4" t="s">
        <v>481</v>
      </c>
      <c r="M93" s="4" t="s">
        <v>45</v>
      </c>
      <c r="N93" s="7" t="n">
        <v>8</v>
      </c>
    </row>
    <row r="94" customFormat="false" ht="95.5" hidden="false" customHeight="false" outlineLevel="0" collapsed="false">
      <c r="B94" s="8" t="s">
        <v>482</v>
      </c>
      <c r="C94" s="8" t="s">
        <v>437</v>
      </c>
      <c r="D94" s="8" t="s">
        <v>483</v>
      </c>
      <c r="E94" s="8" t="s">
        <v>484</v>
      </c>
      <c r="F94" s="8" t="s">
        <v>485</v>
      </c>
      <c r="G94" s="8" t="s">
        <v>42</v>
      </c>
      <c r="H94" s="8" t="s">
        <v>43</v>
      </c>
      <c r="I94" s="9" t="s">
        <v>21</v>
      </c>
      <c r="J94" s="8" t="s">
        <v>22</v>
      </c>
      <c r="K94" s="11" t="s">
        <v>23</v>
      </c>
      <c r="L94" s="8" t="s">
        <v>486</v>
      </c>
      <c r="M94" s="8" t="s">
        <v>45</v>
      </c>
      <c r="N94" s="10" t="n">
        <v>7.5</v>
      </c>
    </row>
    <row r="95" customFormat="false" ht="95.5" hidden="false" customHeight="false" outlineLevel="0" collapsed="false">
      <c r="B95" s="4" t="s">
        <v>487</v>
      </c>
      <c r="C95" s="4" t="s">
        <v>437</v>
      </c>
      <c r="D95" s="4" t="s">
        <v>488</v>
      </c>
      <c r="E95" s="4" t="s">
        <v>489</v>
      </c>
      <c r="F95" s="4" t="s">
        <v>490</v>
      </c>
      <c r="G95" s="4" t="s">
        <v>76</v>
      </c>
      <c r="H95" s="4" t="s">
        <v>20</v>
      </c>
      <c r="I95" s="5" t="s">
        <v>21</v>
      </c>
      <c r="J95" s="5" t="s">
        <v>30</v>
      </c>
      <c r="K95" s="5" t="s">
        <v>31</v>
      </c>
      <c r="L95" s="4" t="s">
        <v>491</v>
      </c>
      <c r="M95" s="4" t="s">
        <v>45</v>
      </c>
      <c r="N95" s="7" t="n">
        <v>8.5</v>
      </c>
    </row>
    <row r="96" customFormat="false" ht="108.95" hidden="false" customHeight="false" outlineLevel="0" collapsed="false">
      <c r="B96" s="8" t="s">
        <v>492</v>
      </c>
      <c r="C96" s="8" t="s">
        <v>437</v>
      </c>
      <c r="D96" s="8" t="s">
        <v>493</v>
      </c>
      <c r="E96" s="8" t="s">
        <v>494</v>
      </c>
      <c r="F96" s="8" t="s">
        <v>495</v>
      </c>
      <c r="G96" s="8" t="s">
        <v>150</v>
      </c>
      <c r="H96" s="8" t="s">
        <v>43</v>
      </c>
      <c r="I96" s="9" t="s">
        <v>21</v>
      </c>
      <c r="J96" s="8" t="s">
        <v>22</v>
      </c>
      <c r="K96" s="11" t="s">
        <v>23</v>
      </c>
      <c r="L96" s="8" t="s">
        <v>496</v>
      </c>
      <c r="M96" s="8" t="s">
        <v>25</v>
      </c>
      <c r="N96" s="10" t="n">
        <v>8</v>
      </c>
    </row>
    <row r="97" customFormat="false" ht="95.5" hidden="false" customHeight="false" outlineLevel="0" collapsed="false">
      <c r="B97" s="4" t="s">
        <v>497</v>
      </c>
      <c r="C97" s="4" t="s">
        <v>437</v>
      </c>
      <c r="D97" s="4" t="s">
        <v>498</v>
      </c>
      <c r="E97" s="4" t="s">
        <v>499</v>
      </c>
      <c r="F97" s="4" t="s">
        <v>500</v>
      </c>
      <c r="G97" s="4" t="s">
        <v>19</v>
      </c>
      <c r="H97" s="4" t="s">
        <v>20</v>
      </c>
      <c r="I97" s="4" t="s">
        <v>22</v>
      </c>
      <c r="J97" s="5" t="s">
        <v>30</v>
      </c>
      <c r="K97" s="6" t="s">
        <v>23</v>
      </c>
      <c r="L97" s="4" t="s">
        <v>501</v>
      </c>
      <c r="M97" s="4" t="s">
        <v>45</v>
      </c>
      <c r="N97" s="7" t="n">
        <v>8</v>
      </c>
    </row>
    <row r="98" customFormat="false" ht="108.95" hidden="false" customHeight="false" outlineLevel="0" collapsed="false">
      <c r="B98" s="8" t="s">
        <v>502</v>
      </c>
      <c r="C98" s="8" t="s">
        <v>437</v>
      </c>
      <c r="D98" s="8" t="s">
        <v>503</v>
      </c>
      <c r="E98" s="8" t="s">
        <v>504</v>
      </c>
      <c r="F98" s="8" t="s">
        <v>505</v>
      </c>
      <c r="G98" s="8" t="s">
        <v>150</v>
      </c>
      <c r="H98" s="8" t="s">
        <v>20</v>
      </c>
      <c r="I98" s="9" t="s">
        <v>21</v>
      </c>
      <c r="J98" s="9" t="s">
        <v>30</v>
      </c>
      <c r="K98" s="9" t="s">
        <v>31</v>
      </c>
      <c r="L98" s="8" t="s">
        <v>506</v>
      </c>
      <c r="M98" s="8" t="s">
        <v>25</v>
      </c>
      <c r="N98" s="10" t="n">
        <v>8.5</v>
      </c>
    </row>
    <row r="99" customFormat="false" ht="95.5" hidden="false" customHeight="false" outlineLevel="0" collapsed="false">
      <c r="B99" s="4" t="s">
        <v>507</v>
      </c>
      <c r="C99" s="4" t="s">
        <v>437</v>
      </c>
      <c r="D99" s="4" t="s">
        <v>508</v>
      </c>
      <c r="E99" s="4" t="s">
        <v>509</v>
      </c>
      <c r="F99" s="4" t="s">
        <v>510</v>
      </c>
      <c r="G99" s="4" t="s">
        <v>42</v>
      </c>
      <c r="H99" s="4" t="s">
        <v>43</v>
      </c>
      <c r="I99" s="4" t="s">
        <v>22</v>
      </c>
      <c r="J99" s="4" t="s">
        <v>22</v>
      </c>
      <c r="K99" s="6" t="s">
        <v>23</v>
      </c>
      <c r="L99" s="4" t="s">
        <v>511</v>
      </c>
      <c r="M99" s="4" t="s">
        <v>45</v>
      </c>
      <c r="N99" s="7" t="n">
        <v>7.5</v>
      </c>
    </row>
    <row r="100" customFormat="false" ht="95.5" hidden="false" customHeight="false" outlineLevel="0" collapsed="false">
      <c r="B100" s="8" t="s">
        <v>512</v>
      </c>
      <c r="C100" s="8" t="s">
        <v>437</v>
      </c>
      <c r="D100" s="8" t="s">
        <v>513</v>
      </c>
      <c r="E100" s="8" t="s">
        <v>514</v>
      </c>
      <c r="F100" s="8" t="s">
        <v>515</v>
      </c>
      <c r="G100" s="8" t="s">
        <v>87</v>
      </c>
      <c r="H100" s="8" t="s">
        <v>20</v>
      </c>
      <c r="I100" s="8" t="s">
        <v>22</v>
      </c>
      <c r="J100" s="9" t="s">
        <v>30</v>
      </c>
      <c r="K100" s="9" t="s">
        <v>31</v>
      </c>
      <c r="L100" s="8" t="s">
        <v>516</v>
      </c>
      <c r="M100" s="8" t="s">
        <v>25</v>
      </c>
      <c r="N100" s="10" t="n">
        <v>8</v>
      </c>
    </row>
    <row r="101" customFormat="false" ht="108.95" hidden="false" customHeight="false" outlineLevel="0" collapsed="false">
      <c r="B101" s="4" t="s">
        <v>517</v>
      </c>
      <c r="C101" s="4" t="s">
        <v>437</v>
      </c>
      <c r="D101" s="4" t="s">
        <v>518</v>
      </c>
      <c r="E101" s="4" t="s">
        <v>519</v>
      </c>
      <c r="F101" s="4" t="s">
        <v>520</v>
      </c>
      <c r="G101" s="4" t="s">
        <v>150</v>
      </c>
      <c r="H101" s="4" t="s">
        <v>20</v>
      </c>
      <c r="I101" s="5" t="s">
        <v>21</v>
      </c>
      <c r="J101" s="4" t="s">
        <v>22</v>
      </c>
      <c r="K101" s="5" t="s">
        <v>31</v>
      </c>
      <c r="L101" s="4" t="s">
        <v>521</v>
      </c>
      <c r="M101" s="4" t="s">
        <v>25</v>
      </c>
      <c r="N101" s="7" t="n">
        <v>9</v>
      </c>
    </row>
    <row r="102" customFormat="false" ht="82.05" hidden="false" customHeight="false" outlineLevel="0" collapsed="false">
      <c r="B102" s="8" t="s">
        <v>522</v>
      </c>
      <c r="C102" s="8" t="s">
        <v>437</v>
      </c>
      <c r="D102" s="8" t="s">
        <v>523</v>
      </c>
      <c r="E102" s="8" t="s">
        <v>524</v>
      </c>
      <c r="F102" s="8" t="s">
        <v>525</v>
      </c>
      <c r="G102" s="8" t="s">
        <v>150</v>
      </c>
      <c r="H102" s="8" t="s">
        <v>20</v>
      </c>
      <c r="I102" s="8" t="s">
        <v>22</v>
      </c>
      <c r="J102" s="9" t="s">
        <v>30</v>
      </c>
      <c r="K102" s="9" t="s">
        <v>31</v>
      </c>
      <c r="L102" s="8" t="s">
        <v>526</v>
      </c>
      <c r="M102" s="8" t="s">
        <v>45</v>
      </c>
      <c r="N102" s="10" t="n">
        <v>7.5</v>
      </c>
    </row>
    <row r="103" customFormat="false" ht="95.5" hidden="false" customHeight="false" outlineLevel="0" collapsed="false">
      <c r="B103" s="4" t="s">
        <v>527</v>
      </c>
      <c r="C103" s="4" t="s">
        <v>437</v>
      </c>
      <c r="D103" s="4" t="s">
        <v>528</v>
      </c>
      <c r="E103" s="4" t="s">
        <v>529</v>
      </c>
      <c r="F103" s="4" t="s">
        <v>530</v>
      </c>
      <c r="G103" s="4" t="s">
        <v>19</v>
      </c>
      <c r="H103" s="4" t="s">
        <v>20</v>
      </c>
      <c r="I103" s="5" t="s">
        <v>21</v>
      </c>
      <c r="J103" s="5" t="s">
        <v>30</v>
      </c>
      <c r="K103" s="6" t="s">
        <v>23</v>
      </c>
      <c r="L103" s="4" t="s">
        <v>531</v>
      </c>
      <c r="M103" s="4" t="s">
        <v>25</v>
      </c>
      <c r="N103" s="7" t="n">
        <v>9</v>
      </c>
    </row>
    <row r="104" customFormat="false" ht="95.5" hidden="false" customHeight="false" outlineLevel="0" collapsed="false">
      <c r="B104" s="8" t="s">
        <v>532</v>
      </c>
      <c r="C104" s="8" t="s">
        <v>437</v>
      </c>
      <c r="D104" s="8" t="s">
        <v>533</v>
      </c>
      <c r="E104" s="8" t="s">
        <v>534</v>
      </c>
      <c r="F104" s="8" t="s">
        <v>535</v>
      </c>
      <c r="G104" s="8" t="s">
        <v>42</v>
      </c>
      <c r="H104" s="8" t="s">
        <v>43</v>
      </c>
      <c r="I104" s="8" t="s">
        <v>22</v>
      </c>
      <c r="J104" s="9" t="s">
        <v>30</v>
      </c>
      <c r="K104" s="11" t="s">
        <v>23</v>
      </c>
      <c r="L104" s="8" t="s">
        <v>536</v>
      </c>
      <c r="M104" s="8" t="s">
        <v>45</v>
      </c>
      <c r="N104" s="10" t="n">
        <v>8</v>
      </c>
    </row>
    <row r="105" customFormat="false" ht="108.95" hidden="false" customHeight="false" outlineLevel="0" collapsed="false">
      <c r="B105" s="4" t="s">
        <v>537</v>
      </c>
      <c r="C105" s="4" t="s">
        <v>538</v>
      </c>
      <c r="D105" s="4" t="s">
        <v>539</v>
      </c>
      <c r="E105" s="4" t="s">
        <v>540</v>
      </c>
      <c r="F105" s="4" t="s">
        <v>541</v>
      </c>
      <c r="G105" s="4" t="s">
        <v>87</v>
      </c>
      <c r="H105" s="4" t="s">
        <v>20</v>
      </c>
      <c r="I105" s="5" t="s">
        <v>21</v>
      </c>
      <c r="J105" s="5" t="s">
        <v>30</v>
      </c>
      <c r="K105" s="15" t="s">
        <v>344</v>
      </c>
      <c r="L105" s="4" t="s">
        <v>542</v>
      </c>
      <c r="M105" s="4" t="s">
        <v>339</v>
      </c>
      <c r="N105" s="7" t="n">
        <v>9</v>
      </c>
    </row>
    <row r="106" customFormat="false" ht="108.95" hidden="false" customHeight="false" outlineLevel="0" collapsed="false">
      <c r="B106" s="8" t="s">
        <v>543</v>
      </c>
      <c r="C106" s="8" t="s">
        <v>538</v>
      </c>
      <c r="D106" s="8" t="s">
        <v>544</v>
      </c>
      <c r="E106" s="8" t="s">
        <v>545</v>
      </c>
      <c r="F106" s="8" t="s">
        <v>546</v>
      </c>
      <c r="G106" s="8" t="s">
        <v>19</v>
      </c>
      <c r="H106" s="8" t="s">
        <v>20</v>
      </c>
      <c r="I106" s="9" t="s">
        <v>21</v>
      </c>
      <c r="J106" s="9" t="s">
        <v>30</v>
      </c>
      <c r="K106" s="11" t="s">
        <v>23</v>
      </c>
      <c r="L106" s="8" t="s">
        <v>547</v>
      </c>
      <c r="M106" s="8" t="s">
        <v>25</v>
      </c>
      <c r="N106" s="10" t="n">
        <v>9</v>
      </c>
    </row>
    <row r="107" customFormat="false" ht="95.5" hidden="false" customHeight="false" outlineLevel="0" collapsed="false">
      <c r="B107" s="4" t="s">
        <v>548</v>
      </c>
      <c r="C107" s="4" t="s">
        <v>538</v>
      </c>
      <c r="D107" s="4" t="s">
        <v>549</v>
      </c>
      <c r="E107" s="4" t="s">
        <v>550</v>
      </c>
      <c r="F107" s="4" t="s">
        <v>551</v>
      </c>
      <c r="G107" s="4" t="s">
        <v>19</v>
      </c>
      <c r="H107" s="4" t="s">
        <v>20</v>
      </c>
      <c r="I107" s="5" t="s">
        <v>21</v>
      </c>
      <c r="J107" s="5" t="s">
        <v>30</v>
      </c>
      <c r="K107" s="6" t="s">
        <v>23</v>
      </c>
      <c r="L107" s="4" t="s">
        <v>552</v>
      </c>
      <c r="M107" s="4" t="s">
        <v>339</v>
      </c>
      <c r="N107" s="7" t="n">
        <v>9</v>
      </c>
    </row>
    <row r="108" customFormat="false" ht="95.5" hidden="false" customHeight="false" outlineLevel="0" collapsed="false">
      <c r="B108" s="8" t="s">
        <v>553</v>
      </c>
      <c r="C108" s="8" t="s">
        <v>538</v>
      </c>
      <c r="D108" s="8" t="s">
        <v>554</v>
      </c>
      <c r="E108" s="8" t="s">
        <v>555</v>
      </c>
      <c r="F108" s="8" t="s">
        <v>556</v>
      </c>
      <c r="G108" s="8" t="s">
        <v>87</v>
      </c>
      <c r="H108" s="8" t="s">
        <v>20</v>
      </c>
      <c r="I108" s="8" t="s">
        <v>22</v>
      </c>
      <c r="J108" s="9" t="s">
        <v>30</v>
      </c>
      <c r="K108" s="11" t="s">
        <v>23</v>
      </c>
      <c r="L108" s="8" t="s">
        <v>557</v>
      </c>
      <c r="M108" s="8" t="s">
        <v>45</v>
      </c>
      <c r="N108" s="10" t="n">
        <v>8.5</v>
      </c>
    </row>
    <row r="109" customFormat="false" ht="82.05" hidden="false" customHeight="false" outlineLevel="0" collapsed="false">
      <c r="B109" s="4" t="s">
        <v>558</v>
      </c>
      <c r="C109" s="4" t="s">
        <v>538</v>
      </c>
      <c r="D109" s="4" t="s">
        <v>559</v>
      </c>
      <c r="E109" s="4" t="s">
        <v>560</v>
      </c>
      <c r="F109" s="4" t="s">
        <v>561</v>
      </c>
      <c r="G109" s="4" t="s">
        <v>87</v>
      </c>
      <c r="H109" s="4" t="s">
        <v>20</v>
      </c>
      <c r="I109" s="4" t="s">
        <v>22</v>
      </c>
      <c r="J109" s="4" t="s">
        <v>22</v>
      </c>
      <c r="K109" s="6" t="s">
        <v>23</v>
      </c>
      <c r="L109" s="4" t="s">
        <v>562</v>
      </c>
      <c r="M109" s="4" t="s">
        <v>45</v>
      </c>
      <c r="N109" s="7" t="n">
        <v>8</v>
      </c>
    </row>
    <row r="110" customFormat="false" ht="95.5" hidden="false" customHeight="false" outlineLevel="0" collapsed="false">
      <c r="B110" s="8" t="s">
        <v>563</v>
      </c>
      <c r="C110" s="8" t="s">
        <v>538</v>
      </c>
      <c r="D110" s="8" t="s">
        <v>564</v>
      </c>
      <c r="E110" s="8" t="s">
        <v>565</v>
      </c>
      <c r="F110" s="8" t="s">
        <v>566</v>
      </c>
      <c r="G110" s="8" t="s">
        <v>19</v>
      </c>
      <c r="H110" s="8" t="s">
        <v>20</v>
      </c>
      <c r="I110" s="8" t="s">
        <v>22</v>
      </c>
      <c r="J110" s="9" t="s">
        <v>30</v>
      </c>
      <c r="K110" s="11" t="s">
        <v>23</v>
      </c>
      <c r="L110" s="8" t="s">
        <v>567</v>
      </c>
      <c r="M110" s="8" t="s">
        <v>25</v>
      </c>
      <c r="N110" s="10" t="n">
        <v>8</v>
      </c>
    </row>
    <row r="111" customFormat="false" ht="108.95" hidden="false" customHeight="false" outlineLevel="0" collapsed="false">
      <c r="B111" s="4" t="s">
        <v>568</v>
      </c>
      <c r="C111" s="4" t="s">
        <v>538</v>
      </c>
      <c r="D111" s="4" t="s">
        <v>569</v>
      </c>
      <c r="E111" s="4" t="s">
        <v>570</v>
      </c>
      <c r="F111" s="4" t="s">
        <v>571</v>
      </c>
      <c r="G111" s="4" t="s">
        <v>87</v>
      </c>
      <c r="H111" s="4" t="s">
        <v>20</v>
      </c>
      <c r="I111" s="5" t="s">
        <v>21</v>
      </c>
      <c r="J111" s="5" t="s">
        <v>30</v>
      </c>
      <c r="K111" s="6" t="s">
        <v>23</v>
      </c>
      <c r="L111" s="4" t="s">
        <v>572</v>
      </c>
      <c r="M111" s="4" t="s">
        <v>25</v>
      </c>
      <c r="N111" s="7" t="n">
        <v>9</v>
      </c>
    </row>
    <row r="112" customFormat="false" ht="108.95" hidden="false" customHeight="false" outlineLevel="0" collapsed="false">
      <c r="B112" s="8" t="s">
        <v>573</v>
      </c>
      <c r="C112" s="8" t="s">
        <v>538</v>
      </c>
      <c r="D112" s="8" t="s">
        <v>574</v>
      </c>
      <c r="E112" s="8" t="s">
        <v>575</v>
      </c>
      <c r="F112" s="8" t="s">
        <v>576</v>
      </c>
      <c r="G112" s="8" t="s">
        <v>19</v>
      </c>
      <c r="H112" s="8" t="s">
        <v>20</v>
      </c>
      <c r="I112" s="8" t="s">
        <v>22</v>
      </c>
      <c r="J112" s="9" t="s">
        <v>30</v>
      </c>
      <c r="K112" s="11" t="s">
        <v>23</v>
      </c>
      <c r="L112" s="8" t="s">
        <v>577</v>
      </c>
      <c r="M112" s="8" t="s">
        <v>25</v>
      </c>
      <c r="N112" s="10" t="n">
        <v>8.5</v>
      </c>
    </row>
    <row r="113" customFormat="false" ht="95.5" hidden="false" customHeight="false" outlineLevel="0" collapsed="false">
      <c r="B113" s="4" t="s">
        <v>578</v>
      </c>
      <c r="C113" s="4" t="s">
        <v>538</v>
      </c>
      <c r="D113" s="4" t="s">
        <v>579</v>
      </c>
      <c r="E113" s="4" t="s">
        <v>580</v>
      </c>
      <c r="F113" s="4" t="s">
        <v>581</v>
      </c>
      <c r="G113" s="4" t="s">
        <v>87</v>
      </c>
      <c r="H113" s="4" t="s">
        <v>20</v>
      </c>
      <c r="I113" s="4" t="s">
        <v>22</v>
      </c>
      <c r="J113" s="5" t="s">
        <v>30</v>
      </c>
      <c r="K113" s="5" t="s">
        <v>31</v>
      </c>
      <c r="L113" s="4" t="s">
        <v>582</v>
      </c>
      <c r="M113" s="4" t="s">
        <v>339</v>
      </c>
      <c r="N113" s="7" t="n">
        <v>8.5</v>
      </c>
    </row>
    <row r="114" customFormat="false" ht="95.5" hidden="false" customHeight="false" outlineLevel="0" collapsed="false">
      <c r="B114" s="8" t="s">
        <v>583</v>
      </c>
      <c r="C114" s="8" t="s">
        <v>538</v>
      </c>
      <c r="D114" s="8" t="s">
        <v>584</v>
      </c>
      <c r="E114" s="8" t="s">
        <v>585</v>
      </c>
      <c r="F114" s="8" t="s">
        <v>586</v>
      </c>
      <c r="G114" s="8" t="s">
        <v>19</v>
      </c>
      <c r="H114" s="8" t="s">
        <v>20</v>
      </c>
      <c r="I114" s="8" t="s">
        <v>22</v>
      </c>
      <c r="J114" s="9" t="s">
        <v>30</v>
      </c>
      <c r="K114" s="11" t="s">
        <v>23</v>
      </c>
      <c r="L114" s="8" t="s">
        <v>587</v>
      </c>
      <c r="M114" s="8" t="s">
        <v>25</v>
      </c>
      <c r="N114" s="10" t="n">
        <v>8</v>
      </c>
    </row>
    <row r="115" customFormat="false" ht="108.95" hidden="false" customHeight="false" outlineLevel="0" collapsed="false">
      <c r="B115" s="4" t="s">
        <v>588</v>
      </c>
      <c r="C115" s="4" t="s">
        <v>538</v>
      </c>
      <c r="D115" s="4" t="s">
        <v>589</v>
      </c>
      <c r="E115" s="4" t="s">
        <v>590</v>
      </c>
      <c r="F115" s="4" t="s">
        <v>591</v>
      </c>
      <c r="G115" s="4" t="s">
        <v>87</v>
      </c>
      <c r="H115" s="4" t="s">
        <v>20</v>
      </c>
      <c r="I115" s="4" t="s">
        <v>22</v>
      </c>
      <c r="J115" s="5" t="s">
        <v>30</v>
      </c>
      <c r="K115" s="6" t="s">
        <v>23</v>
      </c>
      <c r="L115" s="4" t="s">
        <v>592</v>
      </c>
      <c r="M115" s="4" t="s">
        <v>25</v>
      </c>
      <c r="N115" s="7" t="n">
        <v>8</v>
      </c>
    </row>
    <row r="116" customFormat="false" ht="108.95" hidden="false" customHeight="false" outlineLevel="0" collapsed="false">
      <c r="B116" s="8" t="s">
        <v>593</v>
      </c>
      <c r="C116" s="8" t="s">
        <v>538</v>
      </c>
      <c r="D116" s="8" t="s">
        <v>594</v>
      </c>
      <c r="E116" s="8" t="s">
        <v>595</v>
      </c>
      <c r="F116" s="8" t="s">
        <v>596</v>
      </c>
      <c r="G116" s="8" t="s">
        <v>19</v>
      </c>
      <c r="H116" s="8" t="s">
        <v>20</v>
      </c>
      <c r="I116" s="8" t="s">
        <v>22</v>
      </c>
      <c r="J116" s="8" t="s">
        <v>22</v>
      </c>
      <c r="K116" s="11" t="s">
        <v>23</v>
      </c>
      <c r="L116" s="8" t="s">
        <v>597</v>
      </c>
      <c r="M116" s="8" t="s">
        <v>25</v>
      </c>
      <c r="N116" s="10" t="n">
        <v>7.5</v>
      </c>
    </row>
    <row r="117" customFormat="false" ht="95.5" hidden="false" customHeight="false" outlineLevel="0" collapsed="false">
      <c r="B117" s="4" t="s">
        <v>598</v>
      </c>
      <c r="C117" s="4" t="s">
        <v>538</v>
      </c>
      <c r="D117" s="4" t="s">
        <v>599</v>
      </c>
      <c r="E117" s="4" t="s">
        <v>600</v>
      </c>
      <c r="F117" s="4" t="s">
        <v>601</v>
      </c>
      <c r="G117" s="4" t="s">
        <v>76</v>
      </c>
      <c r="H117" s="4" t="s">
        <v>20</v>
      </c>
      <c r="I117" s="5" t="s">
        <v>21</v>
      </c>
      <c r="J117" s="5" t="s">
        <v>30</v>
      </c>
      <c r="K117" s="5" t="s">
        <v>31</v>
      </c>
      <c r="L117" s="4" t="s">
        <v>602</v>
      </c>
      <c r="M117" s="4" t="s">
        <v>25</v>
      </c>
      <c r="N117" s="7" t="n">
        <v>8.5</v>
      </c>
    </row>
    <row r="118" customFormat="false" ht="82.05" hidden="false" customHeight="false" outlineLevel="0" collapsed="false">
      <c r="B118" s="8" t="s">
        <v>603</v>
      </c>
      <c r="C118" s="8" t="s">
        <v>538</v>
      </c>
      <c r="D118" s="8" t="s">
        <v>604</v>
      </c>
      <c r="E118" s="8" t="s">
        <v>605</v>
      </c>
      <c r="F118" s="8" t="s">
        <v>606</v>
      </c>
      <c r="G118" s="8" t="s">
        <v>19</v>
      </c>
      <c r="H118" s="8" t="s">
        <v>20</v>
      </c>
      <c r="I118" s="8" t="s">
        <v>22</v>
      </c>
      <c r="J118" s="9" t="s">
        <v>30</v>
      </c>
      <c r="K118" s="11" t="s">
        <v>23</v>
      </c>
      <c r="L118" s="8" t="s">
        <v>607</v>
      </c>
      <c r="M118" s="8" t="s">
        <v>45</v>
      </c>
      <c r="N118" s="10" t="n">
        <v>8</v>
      </c>
    </row>
    <row r="119" customFormat="false" ht="95.5" hidden="false" customHeight="false" outlineLevel="0" collapsed="false">
      <c r="B119" s="4" t="s">
        <v>608</v>
      </c>
      <c r="C119" s="4" t="s">
        <v>538</v>
      </c>
      <c r="D119" s="4" t="s">
        <v>609</v>
      </c>
      <c r="E119" s="4" t="s">
        <v>610</v>
      </c>
      <c r="F119" s="4" t="s">
        <v>611</v>
      </c>
      <c r="G119" s="4" t="s">
        <v>87</v>
      </c>
      <c r="H119" s="4" t="s">
        <v>20</v>
      </c>
      <c r="I119" s="4" t="s">
        <v>22</v>
      </c>
      <c r="J119" s="5" t="s">
        <v>30</v>
      </c>
      <c r="K119" s="6" t="s">
        <v>23</v>
      </c>
      <c r="L119" s="4" t="s">
        <v>612</v>
      </c>
      <c r="M119" s="4" t="s">
        <v>25</v>
      </c>
      <c r="N119" s="7" t="n">
        <v>8</v>
      </c>
    </row>
    <row r="120" customFormat="false" ht="82.05" hidden="false" customHeight="false" outlineLevel="0" collapsed="false">
      <c r="B120" s="8" t="s">
        <v>613</v>
      </c>
      <c r="C120" s="8" t="s">
        <v>538</v>
      </c>
      <c r="D120" s="8" t="s">
        <v>614</v>
      </c>
      <c r="E120" s="8" t="s">
        <v>615</v>
      </c>
      <c r="F120" s="8" t="s">
        <v>616</v>
      </c>
      <c r="G120" s="8" t="s">
        <v>87</v>
      </c>
      <c r="H120" s="8" t="s">
        <v>20</v>
      </c>
      <c r="I120" s="8" t="s">
        <v>22</v>
      </c>
      <c r="J120" s="9" t="s">
        <v>30</v>
      </c>
      <c r="K120" s="11" t="s">
        <v>23</v>
      </c>
      <c r="L120" s="8" t="s">
        <v>617</v>
      </c>
      <c r="M120" s="8" t="s">
        <v>25</v>
      </c>
      <c r="N120" s="10" t="n">
        <v>7.5</v>
      </c>
    </row>
    <row r="121" customFormat="false" ht="95.5" hidden="false" customHeight="false" outlineLevel="0" collapsed="false">
      <c r="B121" s="4" t="s">
        <v>618</v>
      </c>
      <c r="C121" s="4" t="s">
        <v>538</v>
      </c>
      <c r="D121" s="4" t="s">
        <v>619</v>
      </c>
      <c r="E121" s="4" t="s">
        <v>620</v>
      </c>
      <c r="F121" s="4" t="s">
        <v>621</v>
      </c>
      <c r="G121" s="4" t="s">
        <v>150</v>
      </c>
      <c r="H121" s="4" t="s">
        <v>20</v>
      </c>
      <c r="I121" s="4" t="s">
        <v>22</v>
      </c>
      <c r="J121" s="5" t="s">
        <v>30</v>
      </c>
      <c r="K121" s="6" t="s">
        <v>23</v>
      </c>
      <c r="L121" s="4" t="s">
        <v>622</v>
      </c>
      <c r="M121" s="4" t="s">
        <v>25</v>
      </c>
      <c r="N121" s="7" t="n">
        <v>8</v>
      </c>
    </row>
    <row r="122" customFormat="false" ht="108.95" hidden="false" customHeight="false" outlineLevel="0" collapsed="false">
      <c r="B122" s="8" t="s">
        <v>623</v>
      </c>
      <c r="C122" s="8" t="s">
        <v>538</v>
      </c>
      <c r="D122" s="8" t="s">
        <v>624</v>
      </c>
      <c r="E122" s="8" t="s">
        <v>625</v>
      </c>
      <c r="F122" s="8" t="s">
        <v>626</v>
      </c>
      <c r="G122" s="8" t="s">
        <v>42</v>
      </c>
      <c r="H122" s="8" t="s">
        <v>20</v>
      </c>
      <c r="I122" s="8" t="s">
        <v>22</v>
      </c>
      <c r="J122" s="9" t="s">
        <v>30</v>
      </c>
      <c r="K122" s="11" t="s">
        <v>23</v>
      </c>
      <c r="L122" s="8" t="s">
        <v>627</v>
      </c>
      <c r="M122" s="8" t="s">
        <v>25</v>
      </c>
      <c r="N122" s="10" t="n">
        <v>7.5</v>
      </c>
    </row>
    <row r="123" customFormat="false" ht="95.5" hidden="false" customHeight="false" outlineLevel="0" collapsed="false">
      <c r="B123" s="4" t="s">
        <v>628</v>
      </c>
      <c r="C123" s="4" t="s">
        <v>538</v>
      </c>
      <c r="D123" s="4" t="s">
        <v>629</v>
      </c>
      <c r="E123" s="4" t="s">
        <v>630</v>
      </c>
      <c r="F123" s="4" t="s">
        <v>631</v>
      </c>
      <c r="G123" s="4" t="s">
        <v>42</v>
      </c>
      <c r="H123" s="4" t="s">
        <v>43</v>
      </c>
      <c r="I123" s="4" t="s">
        <v>22</v>
      </c>
      <c r="J123" s="5" t="s">
        <v>30</v>
      </c>
      <c r="K123" s="6" t="s">
        <v>23</v>
      </c>
      <c r="L123" s="4" t="s">
        <v>632</v>
      </c>
      <c r="M123" s="4" t="s">
        <v>45</v>
      </c>
      <c r="N123" s="7" t="n">
        <v>8</v>
      </c>
    </row>
    <row r="124" customFormat="false" ht="108.95" hidden="false" customHeight="false" outlineLevel="0" collapsed="false">
      <c r="B124" s="8" t="s">
        <v>633</v>
      </c>
      <c r="C124" s="8" t="s">
        <v>538</v>
      </c>
      <c r="D124" s="8" t="s">
        <v>634</v>
      </c>
      <c r="E124" s="8" t="s">
        <v>635</v>
      </c>
      <c r="F124" s="8" t="s">
        <v>636</v>
      </c>
      <c r="G124" s="8" t="s">
        <v>19</v>
      </c>
      <c r="H124" s="8" t="s">
        <v>20</v>
      </c>
      <c r="I124" s="9" t="s">
        <v>21</v>
      </c>
      <c r="J124" s="8" t="s">
        <v>22</v>
      </c>
      <c r="K124" s="11" t="s">
        <v>23</v>
      </c>
      <c r="L124" s="8" t="s">
        <v>637</v>
      </c>
      <c r="M124" s="8" t="s">
        <v>25</v>
      </c>
      <c r="N124" s="10" t="n">
        <v>8.5</v>
      </c>
    </row>
    <row r="125" customFormat="false" ht="108.95" hidden="false" customHeight="false" outlineLevel="0" collapsed="false">
      <c r="B125" s="4" t="s">
        <v>638</v>
      </c>
      <c r="C125" s="4" t="s">
        <v>639</v>
      </c>
      <c r="D125" s="4" t="s">
        <v>640</v>
      </c>
      <c r="E125" s="4" t="s">
        <v>641</v>
      </c>
      <c r="F125" s="4" t="s">
        <v>642</v>
      </c>
      <c r="G125" s="4" t="s">
        <v>19</v>
      </c>
      <c r="H125" s="4" t="s">
        <v>20</v>
      </c>
      <c r="I125" s="5" t="s">
        <v>21</v>
      </c>
      <c r="J125" s="5" t="s">
        <v>30</v>
      </c>
      <c r="K125" s="6" t="s">
        <v>23</v>
      </c>
      <c r="L125" s="4" t="s">
        <v>643</v>
      </c>
      <c r="M125" s="4" t="s">
        <v>25</v>
      </c>
      <c r="N125" s="7" t="n">
        <v>9</v>
      </c>
    </row>
    <row r="126" customFormat="false" ht="82.05" hidden="false" customHeight="false" outlineLevel="0" collapsed="false">
      <c r="B126" s="8" t="s">
        <v>644</v>
      </c>
      <c r="C126" s="8" t="s">
        <v>639</v>
      </c>
      <c r="D126" s="8" t="s">
        <v>645</v>
      </c>
      <c r="E126" s="8" t="s">
        <v>646</v>
      </c>
      <c r="F126" s="8" t="s">
        <v>647</v>
      </c>
      <c r="G126" s="8" t="s">
        <v>87</v>
      </c>
      <c r="H126" s="8" t="s">
        <v>20</v>
      </c>
      <c r="I126" s="9" t="s">
        <v>21</v>
      </c>
      <c r="J126" s="9" t="s">
        <v>30</v>
      </c>
      <c r="K126" s="11" t="s">
        <v>23</v>
      </c>
      <c r="L126" s="8" t="s">
        <v>648</v>
      </c>
      <c r="M126" s="8" t="s">
        <v>25</v>
      </c>
      <c r="N126" s="10" t="n">
        <v>9</v>
      </c>
    </row>
    <row r="127" customFormat="false" ht="95.5" hidden="false" customHeight="false" outlineLevel="0" collapsed="false">
      <c r="B127" s="4" t="s">
        <v>649</v>
      </c>
      <c r="C127" s="4" t="s">
        <v>639</v>
      </c>
      <c r="D127" s="4" t="s">
        <v>650</v>
      </c>
      <c r="E127" s="4" t="s">
        <v>651</v>
      </c>
      <c r="F127" s="4" t="s">
        <v>652</v>
      </c>
      <c r="G127" s="4" t="s">
        <v>87</v>
      </c>
      <c r="H127" s="4" t="s">
        <v>20</v>
      </c>
      <c r="I127" s="5" t="s">
        <v>21</v>
      </c>
      <c r="J127" s="4" t="s">
        <v>22</v>
      </c>
      <c r="K127" s="6" t="s">
        <v>23</v>
      </c>
      <c r="L127" s="4" t="s">
        <v>653</v>
      </c>
      <c r="M127" s="4" t="s">
        <v>25</v>
      </c>
      <c r="N127" s="7" t="n">
        <v>8</v>
      </c>
    </row>
    <row r="128" customFormat="false" ht="95.5" hidden="false" customHeight="false" outlineLevel="0" collapsed="false">
      <c r="B128" s="8" t="s">
        <v>654</v>
      </c>
      <c r="C128" s="8" t="s">
        <v>639</v>
      </c>
      <c r="D128" s="8" t="s">
        <v>655</v>
      </c>
      <c r="E128" s="8" t="s">
        <v>656</v>
      </c>
      <c r="F128" s="8" t="s">
        <v>657</v>
      </c>
      <c r="G128" s="8" t="s">
        <v>150</v>
      </c>
      <c r="H128" s="8" t="s">
        <v>20</v>
      </c>
      <c r="I128" s="9" t="s">
        <v>21</v>
      </c>
      <c r="J128" s="8" t="s">
        <v>22</v>
      </c>
      <c r="K128" s="11" t="s">
        <v>23</v>
      </c>
      <c r="L128" s="8" t="s">
        <v>658</v>
      </c>
      <c r="M128" s="8" t="s">
        <v>25</v>
      </c>
      <c r="N128" s="10" t="n">
        <v>8</v>
      </c>
    </row>
    <row r="129" customFormat="false" ht="95.5" hidden="false" customHeight="false" outlineLevel="0" collapsed="false">
      <c r="B129" s="4" t="s">
        <v>659</v>
      </c>
      <c r="C129" s="4" t="s">
        <v>639</v>
      </c>
      <c r="D129" s="4" t="s">
        <v>660</v>
      </c>
      <c r="E129" s="4" t="s">
        <v>661</v>
      </c>
      <c r="F129" s="4" t="s">
        <v>662</v>
      </c>
      <c r="G129" s="4" t="s">
        <v>87</v>
      </c>
      <c r="H129" s="4" t="s">
        <v>20</v>
      </c>
      <c r="I129" s="4" t="s">
        <v>22</v>
      </c>
      <c r="J129" s="4" t="s">
        <v>22</v>
      </c>
      <c r="K129" s="5" t="s">
        <v>31</v>
      </c>
      <c r="L129" s="4" t="s">
        <v>663</v>
      </c>
      <c r="M129" s="4" t="s">
        <v>45</v>
      </c>
      <c r="N129" s="7" t="n">
        <v>7.5</v>
      </c>
    </row>
    <row r="130" customFormat="false" ht="82.05" hidden="false" customHeight="false" outlineLevel="0" collapsed="false">
      <c r="B130" s="8" t="s">
        <v>664</v>
      </c>
      <c r="C130" s="8" t="s">
        <v>639</v>
      </c>
      <c r="D130" s="8" t="s">
        <v>665</v>
      </c>
      <c r="E130" s="8" t="s">
        <v>666</v>
      </c>
      <c r="F130" s="8" t="s">
        <v>667</v>
      </c>
      <c r="G130" s="8" t="s">
        <v>150</v>
      </c>
      <c r="H130" s="8" t="s">
        <v>20</v>
      </c>
      <c r="I130" s="9" t="s">
        <v>21</v>
      </c>
      <c r="J130" s="9" t="s">
        <v>30</v>
      </c>
      <c r="K130" s="9" t="s">
        <v>31</v>
      </c>
      <c r="L130" s="8" t="s">
        <v>668</v>
      </c>
      <c r="M130" s="8" t="s">
        <v>25</v>
      </c>
      <c r="N130" s="10" t="n">
        <v>8.5</v>
      </c>
    </row>
    <row r="131" customFormat="false" ht="82.05" hidden="false" customHeight="false" outlineLevel="0" collapsed="false">
      <c r="B131" s="4" t="s">
        <v>669</v>
      </c>
      <c r="C131" s="4" t="s">
        <v>639</v>
      </c>
      <c r="D131" s="4" t="s">
        <v>670</v>
      </c>
      <c r="E131" s="4" t="s">
        <v>671</v>
      </c>
      <c r="F131" s="4" t="s">
        <v>672</v>
      </c>
      <c r="G131" s="4" t="s">
        <v>42</v>
      </c>
      <c r="H131" s="4" t="s">
        <v>20</v>
      </c>
      <c r="I131" s="4" t="s">
        <v>22</v>
      </c>
      <c r="J131" s="5" t="s">
        <v>30</v>
      </c>
      <c r="K131" s="5" t="s">
        <v>31</v>
      </c>
      <c r="L131" s="4" t="s">
        <v>673</v>
      </c>
      <c r="M131" s="4" t="s">
        <v>45</v>
      </c>
      <c r="N131" s="7" t="n">
        <v>8</v>
      </c>
    </row>
    <row r="132" customFormat="false" ht="82.05" hidden="false" customHeight="false" outlineLevel="0" collapsed="false">
      <c r="B132" s="8" t="s">
        <v>674</v>
      </c>
      <c r="C132" s="8" t="s">
        <v>639</v>
      </c>
      <c r="D132" s="8" t="s">
        <v>675</v>
      </c>
      <c r="E132" s="8" t="s">
        <v>676</v>
      </c>
      <c r="F132" s="8" t="s">
        <v>677</v>
      </c>
      <c r="G132" s="8" t="s">
        <v>42</v>
      </c>
      <c r="H132" s="8" t="s">
        <v>20</v>
      </c>
      <c r="I132" s="8" t="s">
        <v>22</v>
      </c>
      <c r="J132" s="9" t="s">
        <v>30</v>
      </c>
      <c r="K132" s="9" t="s">
        <v>31</v>
      </c>
      <c r="L132" s="8" t="s">
        <v>678</v>
      </c>
      <c r="M132" s="8" t="s">
        <v>25</v>
      </c>
      <c r="N132" s="10" t="n">
        <v>7.5</v>
      </c>
    </row>
    <row r="133" customFormat="false" ht="95.5" hidden="false" customHeight="false" outlineLevel="0" collapsed="false">
      <c r="B133" s="4" t="s">
        <v>679</v>
      </c>
      <c r="C133" s="4" t="s">
        <v>639</v>
      </c>
      <c r="D133" s="4" t="s">
        <v>680</v>
      </c>
      <c r="E133" s="4" t="s">
        <v>681</v>
      </c>
      <c r="F133" s="4" t="s">
        <v>682</v>
      </c>
      <c r="G133" s="4" t="s">
        <v>50</v>
      </c>
      <c r="H133" s="4" t="s">
        <v>20</v>
      </c>
      <c r="I133" s="5" t="s">
        <v>21</v>
      </c>
      <c r="J133" s="4" t="s">
        <v>22</v>
      </c>
      <c r="K133" s="6" t="s">
        <v>23</v>
      </c>
      <c r="L133" s="4" t="s">
        <v>683</v>
      </c>
      <c r="M133" s="4" t="s">
        <v>25</v>
      </c>
      <c r="N133" s="7" t="n">
        <v>8.5</v>
      </c>
    </row>
    <row r="134" customFormat="false" ht="95.5" hidden="false" customHeight="false" outlineLevel="0" collapsed="false">
      <c r="B134" s="8" t="s">
        <v>684</v>
      </c>
      <c r="C134" s="8" t="s">
        <v>639</v>
      </c>
      <c r="D134" s="8" t="s">
        <v>685</v>
      </c>
      <c r="E134" s="8" t="s">
        <v>686</v>
      </c>
      <c r="F134" s="8" t="s">
        <v>687</v>
      </c>
      <c r="G134" s="8" t="s">
        <v>19</v>
      </c>
      <c r="H134" s="8" t="s">
        <v>20</v>
      </c>
      <c r="I134" s="8" t="s">
        <v>22</v>
      </c>
      <c r="J134" s="9" t="s">
        <v>30</v>
      </c>
      <c r="K134" s="11" t="s">
        <v>23</v>
      </c>
      <c r="L134" s="8" t="s">
        <v>688</v>
      </c>
      <c r="M134" s="8" t="s">
        <v>339</v>
      </c>
      <c r="N134" s="10" t="n">
        <v>8</v>
      </c>
    </row>
    <row r="135" customFormat="false" ht="108.95" hidden="false" customHeight="false" outlineLevel="0" collapsed="false">
      <c r="B135" s="4" t="s">
        <v>689</v>
      </c>
      <c r="C135" s="4" t="s">
        <v>639</v>
      </c>
      <c r="D135" s="4" t="s">
        <v>690</v>
      </c>
      <c r="E135" s="4" t="s">
        <v>691</v>
      </c>
      <c r="F135" s="4" t="s">
        <v>692</v>
      </c>
      <c r="G135" s="4" t="s">
        <v>150</v>
      </c>
      <c r="H135" s="4" t="s">
        <v>20</v>
      </c>
      <c r="I135" s="4" t="s">
        <v>22</v>
      </c>
      <c r="J135" s="5" t="s">
        <v>30</v>
      </c>
      <c r="K135" s="5" t="s">
        <v>31</v>
      </c>
      <c r="L135" s="4" t="s">
        <v>693</v>
      </c>
      <c r="M135" s="4" t="s">
        <v>25</v>
      </c>
      <c r="N135" s="7" t="n">
        <v>8</v>
      </c>
    </row>
    <row r="136" customFormat="false" ht="95.5" hidden="false" customHeight="false" outlineLevel="0" collapsed="false">
      <c r="B136" s="8" t="s">
        <v>694</v>
      </c>
      <c r="C136" s="8" t="s">
        <v>639</v>
      </c>
      <c r="D136" s="8" t="s">
        <v>695</v>
      </c>
      <c r="E136" s="8" t="s">
        <v>696</v>
      </c>
      <c r="F136" s="8" t="s">
        <v>697</v>
      </c>
      <c r="G136" s="8" t="s">
        <v>87</v>
      </c>
      <c r="H136" s="8" t="s">
        <v>20</v>
      </c>
      <c r="I136" s="9" t="s">
        <v>21</v>
      </c>
      <c r="J136" s="8" t="s">
        <v>22</v>
      </c>
      <c r="K136" s="11" t="s">
        <v>23</v>
      </c>
      <c r="L136" s="8" t="s">
        <v>698</v>
      </c>
      <c r="M136" s="8" t="s">
        <v>25</v>
      </c>
      <c r="N136" s="10" t="n">
        <v>8</v>
      </c>
    </row>
    <row r="137" customFormat="false" ht="82.05" hidden="false" customHeight="false" outlineLevel="0" collapsed="false">
      <c r="B137" s="4" t="s">
        <v>699</v>
      </c>
      <c r="C137" s="4" t="s">
        <v>639</v>
      </c>
      <c r="D137" s="4" t="s">
        <v>700</v>
      </c>
      <c r="E137" s="4" t="s">
        <v>701</v>
      </c>
      <c r="F137" s="4" t="s">
        <v>702</v>
      </c>
      <c r="G137" s="4" t="s">
        <v>87</v>
      </c>
      <c r="H137" s="4" t="s">
        <v>20</v>
      </c>
      <c r="I137" s="4" t="s">
        <v>22</v>
      </c>
      <c r="J137" s="4" t="s">
        <v>22</v>
      </c>
      <c r="K137" s="5" t="s">
        <v>31</v>
      </c>
      <c r="L137" s="4" t="s">
        <v>703</v>
      </c>
      <c r="M137" s="4" t="s">
        <v>339</v>
      </c>
      <c r="N137" s="7" t="n">
        <v>8</v>
      </c>
    </row>
    <row r="138" customFormat="false" ht="55.2" hidden="false" customHeight="false" outlineLevel="0" collapsed="false">
      <c r="B138" s="8" t="s">
        <v>704</v>
      </c>
      <c r="C138" s="8" t="s">
        <v>639</v>
      </c>
      <c r="D138" s="8" t="s">
        <v>705</v>
      </c>
      <c r="E138" s="8" t="s">
        <v>706</v>
      </c>
      <c r="F138" s="8" t="s">
        <v>707</v>
      </c>
      <c r="G138" s="8" t="s">
        <v>19</v>
      </c>
      <c r="H138" s="8" t="s">
        <v>20</v>
      </c>
      <c r="I138" s="8" t="s">
        <v>22</v>
      </c>
      <c r="J138" s="9" t="s">
        <v>30</v>
      </c>
      <c r="K138" s="11" t="s">
        <v>23</v>
      </c>
      <c r="L138" s="8" t="s">
        <v>708</v>
      </c>
      <c r="M138" s="8" t="s">
        <v>25</v>
      </c>
      <c r="N138" s="10" t="n">
        <v>8.5</v>
      </c>
    </row>
    <row r="139" customFormat="false" ht="108.95" hidden="false" customHeight="false" outlineLevel="0" collapsed="false">
      <c r="B139" s="4" t="s">
        <v>709</v>
      </c>
      <c r="C139" s="4" t="s">
        <v>639</v>
      </c>
      <c r="D139" s="4" t="s">
        <v>710</v>
      </c>
      <c r="E139" s="4" t="s">
        <v>711</v>
      </c>
      <c r="F139" s="4" t="s">
        <v>712</v>
      </c>
      <c r="G139" s="4" t="s">
        <v>150</v>
      </c>
      <c r="H139" s="4" t="s">
        <v>20</v>
      </c>
      <c r="I139" s="4" t="s">
        <v>22</v>
      </c>
      <c r="J139" s="5" t="s">
        <v>30</v>
      </c>
      <c r="K139" s="6" t="s">
        <v>23</v>
      </c>
      <c r="L139" s="4" t="s">
        <v>713</v>
      </c>
      <c r="M139" s="4" t="s">
        <v>25</v>
      </c>
      <c r="N139" s="7" t="n">
        <v>7.5</v>
      </c>
    </row>
    <row r="140" customFormat="false" ht="108.95" hidden="false" customHeight="false" outlineLevel="0" collapsed="false">
      <c r="B140" s="8" t="s">
        <v>714</v>
      </c>
      <c r="C140" s="8" t="s">
        <v>639</v>
      </c>
      <c r="D140" s="8" t="s">
        <v>715</v>
      </c>
      <c r="E140" s="8" t="s">
        <v>716</v>
      </c>
      <c r="F140" s="8" t="s">
        <v>717</v>
      </c>
      <c r="G140" s="8" t="s">
        <v>42</v>
      </c>
      <c r="H140" s="8" t="s">
        <v>20</v>
      </c>
      <c r="I140" s="8" t="s">
        <v>22</v>
      </c>
      <c r="J140" s="9" t="s">
        <v>30</v>
      </c>
      <c r="K140" s="9" t="s">
        <v>31</v>
      </c>
      <c r="L140" s="8" t="s">
        <v>718</v>
      </c>
      <c r="M140" s="8" t="s">
        <v>25</v>
      </c>
      <c r="N140" s="10" t="n">
        <v>7.5</v>
      </c>
    </row>
    <row r="141" customFormat="false" ht="95.5" hidden="false" customHeight="false" outlineLevel="0" collapsed="false">
      <c r="B141" s="4" t="s">
        <v>719</v>
      </c>
      <c r="C141" s="4" t="s">
        <v>639</v>
      </c>
      <c r="D141" s="4" t="s">
        <v>720</v>
      </c>
      <c r="E141" s="4" t="s">
        <v>721</v>
      </c>
      <c r="F141" s="4" t="s">
        <v>722</v>
      </c>
      <c r="G141" s="4" t="s">
        <v>76</v>
      </c>
      <c r="H141" s="4" t="s">
        <v>20</v>
      </c>
      <c r="I141" s="4" t="s">
        <v>22</v>
      </c>
      <c r="J141" s="4" t="s">
        <v>22</v>
      </c>
      <c r="K141" s="5" t="s">
        <v>31</v>
      </c>
      <c r="L141" s="4" t="s">
        <v>723</v>
      </c>
      <c r="M141" s="4" t="s">
        <v>45</v>
      </c>
      <c r="N141" s="7" t="n">
        <v>7.5</v>
      </c>
    </row>
    <row r="142" customFormat="false" ht="82.05" hidden="false" customHeight="false" outlineLevel="0" collapsed="false">
      <c r="B142" s="8" t="s">
        <v>724</v>
      </c>
      <c r="C142" s="8" t="s">
        <v>639</v>
      </c>
      <c r="D142" s="8" t="s">
        <v>725</v>
      </c>
      <c r="E142" s="8" t="s">
        <v>726</v>
      </c>
      <c r="F142" s="8" t="s">
        <v>727</v>
      </c>
      <c r="G142" s="8" t="s">
        <v>150</v>
      </c>
      <c r="H142" s="8" t="s">
        <v>20</v>
      </c>
      <c r="I142" s="8" t="s">
        <v>22</v>
      </c>
      <c r="J142" s="8" t="s">
        <v>22</v>
      </c>
      <c r="K142" s="11" t="s">
        <v>23</v>
      </c>
      <c r="L142" s="8" t="s">
        <v>728</v>
      </c>
      <c r="M142" s="8" t="s">
        <v>45</v>
      </c>
      <c r="N142" s="10" t="n">
        <v>7.5</v>
      </c>
    </row>
    <row r="143" customFormat="false" ht="108.95" hidden="false" customHeight="false" outlineLevel="0" collapsed="false">
      <c r="B143" s="4" t="s">
        <v>729</v>
      </c>
      <c r="C143" s="4" t="s">
        <v>639</v>
      </c>
      <c r="D143" s="4" t="s">
        <v>730</v>
      </c>
      <c r="E143" s="4" t="s">
        <v>731</v>
      </c>
      <c r="F143" s="4" t="s">
        <v>732</v>
      </c>
      <c r="G143" s="4" t="s">
        <v>42</v>
      </c>
      <c r="H143" s="4" t="s">
        <v>20</v>
      </c>
      <c r="I143" s="4" t="s">
        <v>22</v>
      </c>
      <c r="J143" s="5" t="s">
        <v>30</v>
      </c>
      <c r="K143" s="5" t="s">
        <v>31</v>
      </c>
      <c r="L143" s="4" t="s">
        <v>733</v>
      </c>
      <c r="M143" s="4" t="s">
        <v>45</v>
      </c>
      <c r="N143" s="7" t="n">
        <v>7.5</v>
      </c>
    </row>
    <row r="144" customFormat="false" ht="95.5" hidden="false" customHeight="false" outlineLevel="0" collapsed="false">
      <c r="B144" s="8" t="s">
        <v>734</v>
      </c>
      <c r="C144" s="8" t="s">
        <v>639</v>
      </c>
      <c r="D144" s="8" t="s">
        <v>735</v>
      </c>
      <c r="E144" s="8" t="s">
        <v>736</v>
      </c>
      <c r="F144" s="8" t="s">
        <v>737</v>
      </c>
      <c r="G144" s="8" t="s">
        <v>87</v>
      </c>
      <c r="H144" s="8" t="s">
        <v>20</v>
      </c>
      <c r="I144" s="8" t="s">
        <v>22</v>
      </c>
      <c r="J144" s="8" t="s">
        <v>22</v>
      </c>
      <c r="K144" s="9" t="s">
        <v>31</v>
      </c>
      <c r="L144" s="8" t="s">
        <v>738</v>
      </c>
      <c r="M144" s="8" t="s">
        <v>45</v>
      </c>
      <c r="N144" s="10" t="n">
        <v>7.5</v>
      </c>
    </row>
    <row r="145" customFormat="false" ht="108.95" hidden="false" customHeight="false" outlineLevel="0" collapsed="false">
      <c r="B145" s="4" t="s">
        <v>739</v>
      </c>
      <c r="C145" s="4" t="s">
        <v>740</v>
      </c>
      <c r="D145" s="4" t="s">
        <v>741</v>
      </c>
      <c r="E145" s="4" t="s">
        <v>742</v>
      </c>
      <c r="F145" s="4" t="s">
        <v>743</v>
      </c>
      <c r="G145" s="4" t="s">
        <v>42</v>
      </c>
      <c r="H145" s="4" t="s">
        <v>20</v>
      </c>
      <c r="I145" s="5" t="s">
        <v>21</v>
      </c>
      <c r="J145" s="5" t="s">
        <v>30</v>
      </c>
      <c r="K145" s="6" t="s">
        <v>23</v>
      </c>
      <c r="L145" s="4" t="s">
        <v>744</v>
      </c>
      <c r="M145" s="4" t="s">
        <v>25</v>
      </c>
      <c r="N145" s="7" t="n">
        <v>9</v>
      </c>
    </row>
    <row r="146" customFormat="false" ht="95.5" hidden="false" customHeight="false" outlineLevel="0" collapsed="false">
      <c r="B146" s="8" t="s">
        <v>745</v>
      </c>
      <c r="C146" s="8" t="s">
        <v>740</v>
      </c>
      <c r="D146" s="8" t="s">
        <v>746</v>
      </c>
      <c r="E146" s="8" t="s">
        <v>747</v>
      </c>
      <c r="F146" s="8" t="s">
        <v>748</v>
      </c>
      <c r="G146" s="8" t="s">
        <v>19</v>
      </c>
      <c r="H146" s="8" t="s">
        <v>20</v>
      </c>
      <c r="I146" s="9" t="s">
        <v>21</v>
      </c>
      <c r="J146" s="9" t="s">
        <v>30</v>
      </c>
      <c r="K146" s="11" t="s">
        <v>23</v>
      </c>
      <c r="L146" s="8" t="s">
        <v>749</v>
      </c>
      <c r="M146" s="8" t="s">
        <v>25</v>
      </c>
      <c r="N146" s="10" t="n">
        <v>9</v>
      </c>
    </row>
    <row r="147" customFormat="false" ht="95.5" hidden="false" customHeight="false" outlineLevel="0" collapsed="false">
      <c r="B147" s="4" t="s">
        <v>750</v>
      </c>
      <c r="C147" s="4" t="s">
        <v>740</v>
      </c>
      <c r="D147" s="4" t="s">
        <v>751</v>
      </c>
      <c r="E147" s="4" t="s">
        <v>752</v>
      </c>
      <c r="F147" s="4" t="s">
        <v>753</v>
      </c>
      <c r="G147" s="4" t="s">
        <v>87</v>
      </c>
      <c r="H147" s="4" t="s">
        <v>20</v>
      </c>
      <c r="I147" s="5" t="s">
        <v>21</v>
      </c>
      <c r="J147" s="5" t="s">
        <v>30</v>
      </c>
      <c r="K147" s="6" t="s">
        <v>23</v>
      </c>
      <c r="L147" s="4" t="s">
        <v>754</v>
      </c>
      <c r="M147" s="4" t="s">
        <v>25</v>
      </c>
      <c r="N147" s="7" t="n">
        <v>8.5</v>
      </c>
    </row>
    <row r="148" customFormat="false" ht="82.05" hidden="false" customHeight="false" outlineLevel="0" collapsed="false">
      <c r="B148" s="8" t="s">
        <v>755</v>
      </c>
      <c r="C148" s="8" t="s">
        <v>740</v>
      </c>
      <c r="D148" s="8" t="s">
        <v>756</v>
      </c>
      <c r="E148" s="8" t="s">
        <v>757</v>
      </c>
      <c r="F148" s="8" t="s">
        <v>758</v>
      </c>
      <c r="G148" s="8" t="s">
        <v>42</v>
      </c>
      <c r="H148" s="8" t="s">
        <v>20</v>
      </c>
      <c r="I148" s="9" t="s">
        <v>21</v>
      </c>
      <c r="J148" s="8" t="s">
        <v>22</v>
      </c>
      <c r="K148" s="11" t="s">
        <v>23</v>
      </c>
      <c r="L148" s="8" t="s">
        <v>759</v>
      </c>
      <c r="M148" s="8" t="s">
        <v>25</v>
      </c>
      <c r="N148" s="10" t="n">
        <v>8.5</v>
      </c>
    </row>
    <row r="149" customFormat="false" ht="95.5" hidden="false" customHeight="false" outlineLevel="0" collapsed="false">
      <c r="B149" s="4" t="s">
        <v>760</v>
      </c>
      <c r="C149" s="4" t="s">
        <v>740</v>
      </c>
      <c r="D149" s="4" t="s">
        <v>761</v>
      </c>
      <c r="E149" s="4" t="s">
        <v>762</v>
      </c>
      <c r="F149" s="4" t="s">
        <v>763</v>
      </c>
      <c r="G149" s="4" t="s">
        <v>87</v>
      </c>
      <c r="H149" s="4" t="s">
        <v>20</v>
      </c>
      <c r="I149" s="4" t="s">
        <v>22</v>
      </c>
      <c r="J149" s="4" t="s">
        <v>22</v>
      </c>
      <c r="K149" s="5" t="s">
        <v>31</v>
      </c>
      <c r="L149" s="4" t="s">
        <v>764</v>
      </c>
      <c r="M149" s="4" t="s">
        <v>45</v>
      </c>
      <c r="N149" s="7" t="n">
        <v>8</v>
      </c>
    </row>
    <row r="150" customFormat="false" ht="82.05" hidden="false" customHeight="false" outlineLevel="0" collapsed="false">
      <c r="B150" s="8" t="s">
        <v>765</v>
      </c>
      <c r="C150" s="8" t="s">
        <v>740</v>
      </c>
      <c r="D150" s="8" t="s">
        <v>766</v>
      </c>
      <c r="E150" s="8" t="s">
        <v>767</v>
      </c>
      <c r="F150" s="8" t="s">
        <v>768</v>
      </c>
      <c r="G150" s="8" t="s">
        <v>87</v>
      </c>
      <c r="H150" s="8" t="s">
        <v>20</v>
      </c>
      <c r="I150" s="9" t="s">
        <v>21</v>
      </c>
      <c r="J150" s="9" t="s">
        <v>30</v>
      </c>
      <c r="K150" s="9" t="s">
        <v>31</v>
      </c>
      <c r="L150" s="8" t="s">
        <v>769</v>
      </c>
      <c r="M150" s="8" t="s">
        <v>25</v>
      </c>
      <c r="N150" s="10" t="n">
        <v>9</v>
      </c>
    </row>
    <row r="151" customFormat="false" ht="95.5" hidden="false" customHeight="false" outlineLevel="0" collapsed="false">
      <c r="B151" s="4" t="s">
        <v>770</v>
      </c>
      <c r="C151" s="4" t="s">
        <v>740</v>
      </c>
      <c r="D151" s="4" t="s">
        <v>771</v>
      </c>
      <c r="E151" s="4" t="s">
        <v>772</v>
      </c>
      <c r="F151" s="4" t="s">
        <v>773</v>
      </c>
      <c r="G151" s="4" t="s">
        <v>76</v>
      </c>
      <c r="H151" s="4" t="s">
        <v>20</v>
      </c>
      <c r="I151" s="4" t="s">
        <v>22</v>
      </c>
      <c r="J151" s="5" t="s">
        <v>30</v>
      </c>
      <c r="K151" s="6" t="s">
        <v>23</v>
      </c>
      <c r="L151" s="4" t="s">
        <v>774</v>
      </c>
      <c r="M151" s="4" t="s">
        <v>339</v>
      </c>
      <c r="N151" s="7" t="n">
        <v>8</v>
      </c>
    </row>
    <row r="152" customFormat="false" ht="95.5" hidden="false" customHeight="false" outlineLevel="0" collapsed="false">
      <c r="B152" s="8" t="s">
        <v>775</v>
      </c>
      <c r="C152" s="8" t="s">
        <v>740</v>
      </c>
      <c r="D152" s="8" t="s">
        <v>776</v>
      </c>
      <c r="E152" s="8" t="s">
        <v>777</v>
      </c>
      <c r="F152" s="8" t="s">
        <v>778</v>
      </c>
      <c r="G152" s="8" t="s">
        <v>87</v>
      </c>
      <c r="H152" s="8" t="s">
        <v>20</v>
      </c>
      <c r="I152" s="8" t="s">
        <v>22</v>
      </c>
      <c r="J152" s="9" t="s">
        <v>30</v>
      </c>
      <c r="K152" s="11" t="s">
        <v>23</v>
      </c>
      <c r="L152" s="8" t="s">
        <v>779</v>
      </c>
      <c r="M152" s="8" t="s">
        <v>45</v>
      </c>
      <c r="N152" s="10" t="n">
        <v>7.5</v>
      </c>
    </row>
    <row r="153" customFormat="false" ht="95.5" hidden="false" customHeight="false" outlineLevel="0" collapsed="false">
      <c r="B153" s="4" t="s">
        <v>780</v>
      </c>
      <c r="C153" s="4" t="s">
        <v>740</v>
      </c>
      <c r="D153" s="4" t="s">
        <v>781</v>
      </c>
      <c r="E153" s="4" t="s">
        <v>782</v>
      </c>
      <c r="F153" s="4" t="s">
        <v>783</v>
      </c>
      <c r="G153" s="4" t="s">
        <v>87</v>
      </c>
      <c r="H153" s="4" t="s">
        <v>20</v>
      </c>
      <c r="I153" s="4" t="s">
        <v>22</v>
      </c>
      <c r="J153" s="4" t="s">
        <v>22</v>
      </c>
      <c r="K153" s="6" t="s">
        <v>23</v>
      </c>
      <c r="L153" s="4" t="s">
        <v>784</v>
      </c>
      <c r="M153" s="4" t="s">
        <v>45</v>
      </c>
      <c r="N153" s="7" t="n">
        <v>7.5</v>
      </c>
    </row>
    <row r="154" customFormat="false" ht="82.05" hidden="false" customHeight="false" outlineLevel="0" collapsed="false">
      <c r="B154" s="8" t="s">
        <v>785</v>
      </c>
      <c r="C154" s="8" t="s">
        <v>740</v>
      </c>
      <c r="D154" s="8" t="s">
        <v>786</v>
      </c>
      <c r="E154" s="8" t="s">
        <v>787</v>
      </c>
      <c r="F154" s="8" t="s">
        <v>788</v>
      </c>
      <c r="G154" s="8" t="s">
        <v>19</v>
      </c>
      <c r="H154" s="8" t="s">
        <v>20</v>
      </c>
      <c r="I154" s="8" t="s">
        <v>22</v>
      </c>
      <c r="J154" s="9" t="s">
        <v>30</v>
      </c>
      <c r="K154" s="9" t="s">
        <v>31</v>
      </c>
      <c r="L154" s="8" t="s">
        <v>789</v>
      </c>
      <c r="M154" s="8" t="s">
        <v>25</v>
      </c>
      <c r="N154" s="10" t="n">
        <v>7.5</v>
      </c>
    </row>
    <row r="155" customFormat="false" ht="82.05" hidden="false" customHeight="false" outlineLevel="0" collapsed="false">
      <c r="B155" s="4" t="s">
        <v>790</v>
      </c>
      <c r="C155" s="4" t="s">
        <v>740</v>
      </c>
      <c r="D155" s="4" t="s">
        <v>791</v>
      </c>
      <c r="E155" s="4" t="s">
        <v>792</v>
      </c>
      <c r="F155" s="4" t="s">
        <v>793</v>
      </c>
      <c r="G155" s="4" t="s">
        <v>87</v>
      </c>
      <c r="H155" s="4" t="s">
        <v>20</v>
      </c>
      <c r="I155" s="4" t="s">
        <v>22</v>
      </c>
      <c r="J155" s="5" t="s">
        <v>30</v>
      </c>
      <c r="K155" s="5" t="s">
        <v>31</v>
      </c>
      <c r="L155" s="4" t="s">
        <v>794</v>
      </c>
      <c r="M155" s="4" t="s">
        <v>25</v>
      </c>
      <c r="N155" s="7" t="n">
        <v>8</v>
      </c>
    </row>
    <row r="156" customFormat="false" ht="68.65" hidden="false" customHeight="false" outlineLevel="0" collapsed="false">
      <c r="B156" s="8" t="s">
        <v>795</v>
      </c>
      <c r="C156" s="8" t="s">
        <v>740</v>
      </c>
      <c r="D156" s="8" t="s">
        <v>796</v>
      </c>
      <c r="E156" s="8" t="s">
        <v>797</v>
      </c>
      <c r="F156" s="8" t="s">
        <v>798</v>
      </c>
      <c r="G156" s="8" t="s">
        <v>76</v>
      </c>
      <c r="H156" s="8" t="s">
        <v>20</v>
      </c>
      <c r="I156" s="8" t="s">
        <v>22</v>
      </c>
      <c r="J156" s="9" t="s">
        <v>30</v>
      </c>
      <c r="K156" s="9" t="s">
        <v>31</v>
      </c>
      <c r="L156" s="8" t="s">
        <v>799</v>
      </c>
      <c r="M156" s="8" t="s">
        <v>339</v>
      </c>
      <c r="N156" s="10" t="n">
        <v>8</v>
      </c>
    </row>
    <row r="157" customFormat="false" ht="82.05" hidden="false" customHeight="false" outlineLevel="0" collapsed="false">
      <c r="B157" s="4" t="s">
        <v>800</v>
      </c>
      <c r="C157" s="4" t="s">
        <v>740</v>
      </c>
      <c r="D157" s="4" t="s">
        <v>801</v>
      </c>
      <c r="E157" s="4" t="s">
        <v>802</v>
      </c>
      <c r="F157" s="4" t="s">
        <v>803</v>
      </c>
      <c r="G157" s="4" t="s">
        <v>42</v>
      </c>
      <c r="H157" s="4" t="s">
        <v>43</v>
      </c>
      <c r="I157" s="4" t="s">
        <v>22</v>
      </c>
      <c r="J157" s="5" t="s">
        <v>30</v>
      </c>
      <c r="K157" s="5" t="s">
        <v>31</v>
      </c>
      <c r="L157" s="4" t="s">
        <v>804</v>
      </c>
      <c r="M157" s="4" t="s">
        <v>45</v>
      </c>
      <c r="N157" s="7" t="n">
        <v>7.5</v>
      </c>
    </row>
    <row r="158" customFormat="false" ht="95.5" hidden="false" customHeight="false" outlineLevel="0" collapsed="false">
      <c r="B158" s="8" t="s">
        <v>805</v>
      </c>
      <c r="C158" s="8" t="s">
        <v>740</v>
      </c>
      <c r="D158" s="8" t="s">
        <v>806</v>
      </c>
      <c r="E158" s="8" t="s">
        <v>807</v>
      </c>
      <c r="F158" s="8" t="s">
        <v>808</v>
      </c>
      <c r="G158" s="8" t="s">
        <v>19</v>
      </c>
      <c r="H158" s="8" t="s">
        <v>20</v>
      </c>
      <c r="I158" s="8" t="s">
        <v>22</v>
      </c>
      <c r="J158" s="9" t="s">
        <v>30</v>
      </c>
      <c r="K158" s="9" t="s">
        <v>31</v>
      </c>
      <c r="L158" s="8" t="s">
        <v>809</v>
      </c>
      <c r="M158" s="8" t="s">
        <v>339</v>
      </c>
      <c r="N158" s="10" t="n">
        <v>7.5</v>
      </c>
    </row>
    <row r="159" customFormat="false" ht="82.05" hidden="false" customHeight="false" outlineLevel="0" collapsed="false">
      <c r="B159" s="4" t="s">
        <v>810</v>
      </c>
      <c r="C159" s="4" t="s">
        <v>740</v>
      </c>
      <c r="D159" s="4" t="s">
        <v>811</v>
      </c>
      <c r="E159" s="4" t="s">
        <v>812</v>
      </c>
      <c r="F159" s="4" t="s">
        <v>813</v>
      </c>
      <c r="G159" s="4" t="s">
        <v>87</v>
      </c>
      <c r="H159" s="4" t="s">
        <v>20</v>
      </c>
      <c r="I159" s="4" t="s">
        <v>22</v>
      </c>
      <c r="J159" s="4" t="s">
        <v>22</v>
      </c>
      <c r="K159" s="6" t="s">
        <v>23</v>
      </c>
      <c r="L159" s="4" t="s">
        <v>814</v>
      </c>
      <c r="M159" s="4" t="s">
        <v>25</v>
      </c>
      <c r="N159" s="7" t="n">
        <v>8</v>
      </c>
    </row>
    <row r="160" customFormat="false" ht="108.95" hidden="false" customHeight="false" outlineLevel="0" collapsed="false">
      <c r="B160" s="8" t="s">
        <v>815</v>
      </c>
      <c r="C160" s="8" t="s">
        <v>740</v>
      </c>
      <c r="D160" s="8" t="s">
        <v>816</v>
      </c>
      <c r="E160" s="8" t="s">
        <v>817</v>
      </c>
      <c r="F160" s="8" t="s">
        <v>818</v>
      </c>
      <c r="G160" s="8" t="s">
        <v>50</v>
      </c>
      <c r="H160" s="8" t="s">
        <v>20</v>
      </c>
      <c r="I160" s="9" t="s">
        <v>21</v>
      </c>
      <c r="J160" s="8" t="s">
        <v>22</v>
      </c>
      <c r="K160" s="11" t="s">
        <v>23</v>
      </c>
      <c r="L160" s="8" t="s">
        <v>819</v>
      </c>
      <c r="M160" s="8" t="s">
        <v>25</v>
      </c>
      <c r="N160" s="10" t="n">
        <v>8</v>
      </c>
    </row>
    <row r="161" customFormat="false" ht="82.05" hidden="false" customHeight="false" outlineLevel="0" collapsed="false">
      <c r="B161" s="4" t="s">
        <v>820</v>
      </c>
      <c r="C161" s="4" t="s">
        <v>740</v>
      </c>
      <c r="D161" s="4" t="s">
        <v>821</v>
      </c>
      <c r="E161" s="4" t="s">
        <v>822</v>
      </c>
      <c r="F161" s="4" t="s">
        <v>823</v>
      </c>
      <c r="G161" s="4" t="s">
        <v>19</v>
      </c>
      <c r="H161" s="4" t="s">
        <v>20</v>
      </c>
      <c r="I161" s="4" t="s">
        <v>22</v>
      </c>
      <c r="J161" s="5" t="s">
        <v>30</v>
      </c>
      <c r="K161" s="6" t="s">
        <v>23</v>
      </c>
      <c r="L161" s="4" t="s">
        <v>824</v>
      </c>
      <c r="M161" s="4" t="s">
        <v>25</v>
      </c>
      <c r="N161" s="7" t="n">
        <v>8</v>
      </c>
    </row>
    <row r="162" customFormat="false" ht="82.05" hidden="false" customHeight="false" outlineLevel="0" collapsed="false">
      <c r="B162" s="8" t="s">
        <v>825</v>
      </c>
      <c r="C162" s="8" t="s">
        <v>740</v>
      </c>
      <c r="D162" s="8" t="s">
        <v>826</v>
      </c>
      <c r="E162" s="8" t="s">
        <v>827</v>
      </c>
      <c r="F162" s="8" t="s">
        <v>828</v>
      </c>
      <c r="G162" s="8" t="s">
        <v>87</v>
      </c>
      <c r="H162" s="8" t="s">
        <v>43</v>
      </c>
      <c r="I162" s="8" t="s">
        <v>22</v>
      </c>
      <c r="J162" s="9" t="s">
        <v>30</v>
      </c>
      <c r="K162" s="9" t="s">
        <v>31</v>
      </c>
      <c r="L162" s="8" t="s">
        <v>829</v>
      </c>
      <c r="M162" s="8" t="s">
        <v>45</v>
      </c>
      <c r="N162" s="10" t="n">
        <v>7.5</v>
      </c>
    </row>
    <row r="163" customFormat="false" ht="82.05" hidden="false" customHeight="false" outlineLevel="0" collapsed="false">
      <c r="B163" s="4" t="s">
        <v>830</v>
      </c>
      <c r="C163" s="4" t="s">
        <v>740</v>
      </c>
      <c r="D163" s="4" t="s">
        <v>831</v>
      </c>
      <c r="E163" s="4" t="s">
        <v>832</v>
      </c>
      <c r="F163" s="4" t="s">
        <v>833</v>
      </c>
      <c r="G163" s="4" t="s">
        <v>42</v>
      </c>
      <c r="H163" s="4" t="s">
        <v>43</v>
      </c>
      <c r="I163" s="4" t="s">
        <v>22</v>
      </c>
      <c r="J163" s="5" t="s">
        <v>30</v>
      </c>
      <c r="K163" s="5" t="s">
        <v>31</v>
      </c>
      <c r="L163" s="4" t="s">
        <v>834</v>
      </c>
      <c r="M163" s="4" t="s">
        <v>45</v>
      </c>
      <c r="N163" s="7" t="n">
        <v>7</v>
      </c>
    </row>
    <row r="164" customFormat="false" ht="82.05" hidden="false" customHeight="false" outlineLevel="0" collapsed="false">
      <c r="B164" s="8" t="s">
        <v>835</v>
      </c>
      <c r="C164" s="8" t="s">
        <v>740</v>
      </c>
      <c r="D164" s="8" t="s">
        <v>836</v>
      </c>
      <c r="E164" s="8" t="s">
        <v>837</v>
      </c>
      <c r="F164" s="8" t="s">
        <v>838</v>
      </c>
      <c r="G164" s="8" t="s">
        <v>87</v>
      </c>
      <c r="H164" s="8" t="s">
        <v>20</v>
      </c>
      <c r="I164" s="8" t="s">
        <v>22</v>
      </c>
      <c r="J164" s="12" t="s">
        <v>88</v>
      </c>
      <c r="K164" s="9" t="s">
        <v>31</v>
      </c>
      <c r="L164" s="8" t="s">
        <v>839</v>
      </c>
      <c r="M164" s="8" t="s">
        <v>25</v>
      </c>
      <c r="N164" s="10" t="n">
        <v>7.5</v>
      </c>
    </row>
    <row r="165" customFormat="false" ht="95.5" hidden="false" customHeight="false" outlineLevel="0" collapsed="false">
      <c r="B165" s="4" t="s">
        <v>840</v>
      </c>
      <c r="C165" s="4" t="s">
        <v>841</v>
      </c>
      <c r="D165" s="4" t="s">
        <v>842</v>
      </c>
      <c r="E165" s="4" t="s">
        <v>843</v>
      </c>
      <c r="F165" s="4" t="s">
        <v>844</v>
      </c>
      <c r="G165" s="4" t="s">
        <v>150</v>
      </c>
      <c r="H165" s="4" t="s">
        <v>43</v>
      </c>
      <c r="I165" s="5" t="s">
        <v>21</v>
      </c>
      <c r="J165" s="5" t="s">
        <v>30</v>
      </c>
      <c r="K165" s="6" t="s">
        <v>23</v>
      </c>
      <c r="L165" s="4" t="s">
        <v>845</v>
      </c>
      <c r="M165" s="4" t="s">
        <v>45</v>
      </c>
      <c r="N165" s="7" t="n">
        <v>8</v>
      </c>
    </row>
    <row r="166" customFormat="false" ht="95.5" hidden="false" customHeight="false" outlineLevel="0" collapsed="false">
      <c r="B166" s="8" t="s">
        <v>846</v>
      </c>
      <c r="C166" s="8" t="s">
        <v>841</v>
      </c>
      <c r="D166" s="8" t="s">
        <v>847</v>
      </c>
      <c r="E166" s="8" t="s">
        <v>848</v>
      </c>
      <c r="F166" s="8" t="s">
        <v>849</v>
      </c>
      <c r="G166" s="8" t="s">
        <v>42</v>
      </c>
      <c r="H166" s="8" t="s">
        <v>43</v>
      </c>
      <c r="I166" s="9" t="s">
        <v>21</v>
      </c>
      <c r="J166" s="8" t="s">
        <v>22</v>
      </c>
      <c r="K166" s="11" t="s">
        <v>23</v>
      </c>
      <c r="L166" s="8" t="s">
        <v>850</v>
      </c>
      <c r="M166" s="8" t="s">
        <v>45</v>
      </c>
      <c r="N166" s="10" t="n">
        <v>8</v>
      </c>
    </row>
    <row r="167" customFormat="false" ht="95.5" hidden="false" customHeight="false" outlineLevel="0" collapsed="false">
      <c r="B167" s="4" t="s">
        <v>851</v>
      </c>
      <c r="C167" s="4" t="s">
        <v>841</v>
      </c>
      <c r="D167" s="4" t="s">
        <v>852</v>
      </c>
      <c r="E167" s="4" t="s">
        <v>853</v>
      </c>
      <c r="F167" s="4" t="s">
        <v>854</v>
      </c>
      <c r="G167" s="4" t="s">
        <v>42</v>
      </c>
      <c r="H167" s="4" t="s">
        <v>43</v>
      </c>
      <c r="I167" s="5" t="s">
        <v>21</v>
      </c>
      <c r="J167" s="13" t="s">
        <v>88</v>
      </c>
      <c r="K167" s="15" t="s">
        <v>344</v>
      </c>
      <c r="L167" s="4" t="s">
        <v>855</v>
      </c>
      <c r="M167" s="4" t="s">
        <v>45</v>
      </c>
      <c r="N167" s="7" t="n">
        <v>6.5</v>
      </c>
    </row>
    <row r="168" customFormat="false" ht="95.5" hidden="false" customHeight="false" outlineLevel="0" collapsed="false">
      <c r="B168" s="8" t="s">
        <v>856</v>
      </c>
      <c r="C168" s="8" t="s">
        <v>841</v>
      </c>
      <c r="D168" s="8" t="s">
        <v>857</v>
      </c>
      <c r="E168" s="8" t="s">
        <v>858</v>
      </c>
      <c r="F168" s="8" t="s">
        <v>859</v>
      </c>
      <c r="G168" s="8" t="s">
        <v>150</v>
      </c>
      <c r="H168" s="8" t="s">
        <v>43</v>
      </c>
      <c r="I168" s="9" t="s">
        <v>21</v>
      </c>
      <c r="J168" s="8" t="s">
        <v>22</v>
      </c>
      <c r="K168" s="11" t="s">
        <v>23</v>
      </c>
      <c r="L168" s="8" t="s">
        <v>860</v>
      </c>
      <c r="M168" s="8" t="s">
        <v>45</v>
      </c>
      <c r="N168" s="10" t="n">
        <v>8</v>
      </c>
    </row>
    <row r="169" customFormat="false" ht="108.95" hidden="false" customHeight="false" outlineLevel="0" collapsed="false">
      <c r="B169" s="4" t="s">
        <v>861</v>
      </c>
      <c r="C169" s="4" t="s">
        <v>841</v>
      </c>
      <c r="D169" s="4" t="s">
        <v>862</v>
      </c>
      <c r="E169" s="4" t="s">
        <v>863</v>
      </c>
      <c r="F169" s="4" t="s">
        <v>864</v>
      </c>
      <c r="G169" s="4" t="s">
        <v>87</v>
      </c>
      <c r="H169" s="4" t="s">
        <v>43</v>
      </c>
      <c r="I169" s="5" t="s">
        <v>21</v>
      </c>
      <c r="J169" s="4" t="s">
        <v>22</v>
      </c>
      <c r="K169" s="6" t="s">
        <v>23</v>
      </c>
      <c r="L169" s="4" t="s">
        <v>865</v>
      </c>
      <c r="M169" s="4" t="s">
        <v>45</v>
      </c>
      <c r="N169" s="7" t="n">
        <v>8</v>
      </c>
    </row>
    <row r="170" customFormat="false" ht="82.05" hidden="false" customHeight="false" outlineLevel="0" collapsed="false">
      <c r="B170" s="8" t="s">
        <v>866</v>
      </c>
      <c r="C170" s="8" t="s">
        <v>841</v>
      </c>
      <c r="D170" s="8" t="s">
        <v>867</v>
      </c>
      <c r="E170" s="8" t="s">
        <v>868</v>
      </c>
      <c r="F170" s="8" t="s">
        <v>869</v>
      </c>
      <c r="G170" s="8" t="s">
        <v>42</v>
      </c>
      <c r="H170" s="8" t="s">
        <v>43</v>
      </c>
      <c r="I170" s="9" t="s">
        <v>21</v>
      </c>
      <c r="J170" s="8" t="s">
        <v>22</v>
      </c>
      <c r="K170" s="11" t="s">
        <v>23</v>
      </c>
      <c r="L170" s="8" t="s">
        <v>870</v>
      </c>
      <c r="M170" s="8" t="s">
        <v>45</v>
      </c>
      <c r="N170" s="10" t="n">
        <v>7</v>
      </c>
    </row>
    <row r="171" customFormat="false" ht="95.5" hidden="false" customHeight="false" outlineLevel="0" collapsed="false">
      <c r="B171" s="4" t="s">
        <v>871</v>
      </c>
      <c r="C171" s="4" t="s">
        <v>841</v>
      </c>
      <c r="D171" s="4" t="s">
        <v>872</v>
      </c>
      <c r="E171" s="4" t="s">
        <v>873</v>
      </c>
      <c r="F171" s="4" t="s">
        <v>874</v>
      </c>
      <c r="G171" s="4" t="s">
        <v>150</v>
      </c>
      <c r="H171" s="4" t="s">
        <v>43</v>
      </c>
      <c r="I171" s="4" t="s">
        <v>22</v>
      </c>
      <c r="J171" s="5" t="s">
        <v>30</v>
      </c>
      <c r="K171" s="6" t="s">
        <v>23</v>
      </c>
      <c r="L171" s="4" t="s">
        <v>875</v>
      </c>
      <c r="M171" s="4" t="s">
        <v>45</v>
      </c>
      <c r="N171" s="7" t="n">
        <v>7.5</v>
      </c>
    </row>
    <row r="172" customFormat="false" ht="95.5" hidden="false" customHeight="false" outlineLevel="0" collapsed="false">
      <c r="B172" s="8" t="s">
        <v>876</v>
      </c>
      <c r="C172" s="8" t="s">
        <v>841</v>
      </c>
      <c r="D172" s="8" t="s">
        <v>877</v>
      </c>
      <c r="E172" s="8" t="s">
        <v>878</v>
      </c>
      <c r="F172" s="8" t="s">
        <v>879</v>
      </c>
      <c r="G172" s="8" t="s">
        <v>42</v>
      </c>
      <c r="H172" s="8" t="s">
        <v>43</v>
      </c>
      <c r="I172" s="9" t="s">
        <v>21</v>
      </c>
      <c r="J172" s="8" t="s">
        <v>22</v>
      </c>
      <c r="K172" s="9" t="s">
        <v>31</v>
      </c>
      <c r="L172" s="8" t="s">
        <v>880</v>
      </c>
      <c r="M172" s="8" t="s">
        <v>45</v>
      </c>
      <c r="N172" s="10" t="n">
        <v>8.5</v>
      </c>
    </row>
    <row r="173" customFormat="false" ht="95.5" hidden="false" customHeight="false" outlineLevel="0" collapsed="false">
      <c r="B173" s="4" t="s">
        <v>881</v>
      </c>
      <c r="C173" s="4" t="s">
        <v>841</v>
      </c>
      <c r="D173" s="4" t="s">
        <v>882</v>
      </c>
      <c r="E173" s="4" t="s">
        <v>883</v>
      </c>
      <c r="F173" s="4" t="s">
        <v>884</v>
      </c>
      <c r="G173" s="4" t="s">
        <v>50</v>
      </c>
      <c r="H173" s="4" t="s">
        <v>43</v>
      </c>
      <c r="I173" s="4" t="s">
        <v>22</v>
      </c>
      <c r="J173" s="13" t="s">
        <v>88</v>
      </c>
      <c r="K173" s="5" t="s">
        <v>31</v>
      </c>
      <c r="L173" s="4" t="s">
        <v>885</v>
      </c>
      <c r="M173" s="4" t="s">
        <v>45</v>
      </c>
      <c r="N173" s="7" t="n">
        <v>6.5</v>
      </c>
    </row>
    <row r="174" customFormat="false" ht="95.5" hidden="false" customHeight="false" outlineLevel="0" collapsed="false">
      <c r="B174" s="8" t="s">
        <v>886</v>
      </c>
      <c r="C174" s="8" t="s">
        <v>841</v>
      </c>
      <c r="D174" s="8" t="s">
        <v>887</v>
      </c>
      <c r="E174" s="8" t="s">
        <v>888</v>
      </c>
      <c r="F174" s="8" t="s">
        <v>889</v>
      </c>
      <c r="G174" s="8" t="s">
        <v>42</v>
      </c>
      <c r="H174" s="8" t="s">
        <v>43</v>
      </c>
      <c r="I174" s="8" t="s">
        <v>22</v>
      </c>
      <c r="J174" s="8" t="s">
        <v>22</v>
      </c>
      <c r="K174" s="11" t="s">
        <v>23</v>
      </c>
      <c r="L174" s="8" t="s">
        <v>890</v>
      </c>
      <c r="M174" s="8" t="s">
        <v>45</v>
      </c>
      <c r="N174" s="10" t="n">
        <v>7</v>
      </c>
    </row>
    <row r="175" customFormat="false" ht="82.05" hidden="false" customHeight="false" outlineLevel="0" collapsed="false">
      <c r="B175" s="4" t="s">
        <v>891</v>
      </c>
      <c r="C175" s="4" t="s">
        <v>841</v>
      </c>
      <c r="D175" s="4" t="s">
        <v>892</v>
      </c>
      <c r="E175" s="4" t="s">
        <v>893</v>
      </c>
      <c r="F175" s="4" t="s">
        <v>894</v>
      </c>
      <c r="G175" s="4" t="s">
        <v>150</v>
      </c>
      <c r="H175" s="4" t="s">
        <v>43</v>
      </c>
      <c r="I175" s="5" t="s">
        <v>21</v>
      </c>
      <c r="J175" s="4" t="s">
        <v>22</v>
      </c>
      <c r="K175" s="6" t="s">
        <v>23</v>
      </c>
      <c r="L175" s="4" t="s">
        <v>895</v>
      </c>
      <c r="M175" s="4" t="s">
        <v>45</v>
      </c>
      <c r="N175" s="7" t="n">
        <v>7.5</v>
      </c>
    </row>
    <row r="176" customFormat="false" ht="95.5" hidden="false" customHeight="false" outlineLevel="0" collapsed="false">
      <c r="B176" s="8" t="s">
        <v>896</v>
      </c>
      <c r="C176" s="8" t="s">
        <v>841</v>
      </c>
      <c r="D176" s="8" t="s">
        <v>897</v>
      </c>
      <c r="E176" s="8" t="s">
        <v>898</v>
      </c>
      <c r="F176" s="8" t="s">
        <v>899</v>
      </c>
      <c r="G176" s="8" t="s">
        <v>87</v>
      </c>
      <c r="H176" s="8" t="s">
        <v>43</v>
      </c>
      <c r="I176" s="8" t="s">
        <v>22</v>
      </c>
      <c r="J176" s="12" t="s">
        <v>88</v>
      </c>
      <c r="K176" s="9" t="s">
        <v>31</v>
      </c>
      <c r="L176" s="8" t="s">
        <v>900</v>
      </c>
      <c r="M176" s="8" t="s">
        <v>45</v>
      </c>
      <c r="N176" s="10" t="n">
        <v>7</v>
      </c>
    </row>
    <row r="177" customFormat="false" ht="95.5" hidden="false" customHeight="false" outlineLevel="0" collapsed="false">
      <c r="B177" s="4" t="s">
        <v>901</v>
      </c>
      <c r="C177" s="4" t="s">
        <v>841</v>
      </c>
      <c r="D177" s="4" t="s">
        <v>902</v>
      </c>
      <c r="E177" s="4" t="s">
        <v>903</v>
      </c>
      <c r="F177" s="4" t="s">
        <v>904</v>
      </c>
      <c r="G177" s="4" t="s">
        <v>150</v>
      </c>
      <c r="H177" s="4" t="s">
        <v>20</v>
      </c>
      <c r="I177" s="5" t="s">
        <v>21</v>
      </c>
      <c r="J177" s="4" t="s">
        <v>22</v>
      </c>
      <c r="K177" s="5" t="s">
        <v>31</v>
      </c>
      <c r="L177" s="4" t="s">
        <v>905</v>
      </c>
      <c r="M177" s="4" t="s">
        <v>25</v>
      </c>
      <c r="N177" s="7" t="n">
        <v>8</v>
      </c>
    </row>
    <row r="178" customFormat="false" ht="95.5" hidden="false" customHeight="false" outlineLevel="0" collapsed="false">
      <c r="B178" s="8" t="s">
        <v>906</v>
      </c>
      <c r="C178" s="8" t="s">
        <v>841</v>
      </c>
      <c r="D178" s="8" t="s">
        <v>907</v>
      </c>
      <c r="E178" s="8" t="s">
        <v>908</v>
      </c>
      <c r="F178" s="8" t="s">
        <v>909</v>
      </c>
      <c r="G178" s="8" t="s">
        <v>150</v>
      </c>
      <c r="H178" s="8" t="s">
        <v>20</v>
      </c>
      <c r="I178" s="9" t="s">
        <v>21</v>
      </c>
      <c r="J178" s="8" t="s">
        <v>22</v>
      </c>
      <c r="K178" s="11" t="s">
        <v>23</v>
      </c>
      <c r="L178" s="8" t="s">
        <v>910</v>
      </c>
      <c r="M178" s="8" t="s">
        <v>45</v>
      </c>
      <c r="N178" s="10" t="n">
        <v>8</v>
      </c>
    </row>
    <row r="179" customFormat="false" ht="108.95" hidden="false" customHeight="false" outlineLevel="0" collapsed="false">
      <c r="B179" s="4" t="s">
        <v>911</v>
      </c>
      <c r="C179" s="4" t="s">
        <v>841</v>
      </c>
      <c r="D179" s="4" t="s">
        <v>912</v>
      </c>
      <c r="E179" s="4" t="s">
        <v>913</v>
      </c>
      <c r="F179" s="4" t="s">
        <v>914</v>
      </c>
      <c r="G179" s="4" t="s">
        <v>150</v>
      </c>
      <c r="H179" s="4" t="s">
        <v>43</v>
      </c>
      <c r="I179" s="5" t="s">
        <v>21</v>
      </c>
      <c r="J179" s="13" t="s">
        <v>88</v>
      </c>
      <c r="K179" s="6" t="s">
        <v>23</v>
      </c>
      <c r="L179" s="4" t="s">
        <v>915</v>
      </c>
      <c r="M179" s="4" t="s">
        <v>45</v>
      </c>
      <c r="N179" s="7" t="n">
        <v>7.5</v>
      </c>
    </row>
    <row r="180" customFormat="false" ht="95.5" hidden="false" customHeight="false" outlineLevel="0" collapsed="false">
      <c r="B180" s="8" t="s">
        <v>916</v>
      </c>
      <c r="C180" s="8" t="s">
        <v>841</v>
      </c>
      <c r="D180" s="8" t="s">
        <v>917</v>
      </c>
      <c r="E180" s="8" t="s">
        <v>918</v>
      </c>
      <c r="F180" s="8" t="s">
        <v>919</v>
      </c>
      <c r="G180" s="8" t="s">
        <v>50</v>
      </c>
      <c r="H180" s="8" t="s">
        <v>43</v>
      </c>
      <c r="I180" s="8" t="s">
        <v>22</v>
      </c>
      <c r="J180" s="12" t="s">
        <v>88</v>
      </c>
      <c r="K180" s="11" t="s">
        <v>23</v>
      </c>
      <c r="L180" s="8" t="s">
        <v>920</v>
      </c>
      <c r="M180" s="8" t="s">
        <v>45</v>
      </c>
      <c r="N180" s="10" t="n">
        <v>7</v>
      </c>
    </row>
    <row r="181" customFormat="false" ht="95.5" hidden="false" customHeight="false" outlineLevel="0" collapsed="false">
      <c r="B181" s="4" t="s">
        <v>921</v>
      </c>
      <c r="C181" s="4" t="s">
        <v>841</v>
      </c>
      <c r="D181" s="4" t="s">
        <v>922</v>
      </c>
      <c r="E181" s="4" t="s">
        <v>923</v>
      </c>
      <c r="F181" s="4" t="s">
        <v>924</v>
      </c>
      <c r="G181" s="4" t="s">
        <v>42</v>
      </c>
      <c r="H181" s="4" t="s">
        <v>20</v>
      </c>
      <c r="I181" s="4" t="s">
        <v>22</v>
      </c>
      <c r="J181" s="4" t="s">
        <v>22</v>
      </c>
      <c r="K181" s="5" t="s">
        <v>31</v>
      </c>
      <c r="L181" s="4" t="s">
        <v>925</v>
      </c>
      <c r="M181" s="4" t="s">
        <v>45</v>
      </c>
      <c r="N181" s="7" t="n">
        <v>7.5</v>
      </c>
    </row>
    <row r="182" customFormat="false" ht="95.5" hidden="false" customHeight="false" outlineLevel="0" collapsed="false">
      <c r="B182" s="8" t="s">
        <v>926</v>
      </c>
      <c r="C182" s="8" t="s">
        <v>841</v>
      </c>
      <c r="D182" s="8" t="s">
        <v>927</v>
      </c>
      <c r="E182" s="8" t="s">
        <v>928</v>
      </c>
      <c r="F182" s="8" t="s">
        <v>929</v>
      </c>
      <c r="G182" s="8" t="s">
        <v>42</v>
      </c>
      <c r="H182" s="8" t="s">
        <v>43</v>
      </c>
      <c r="I182" s="8" t="s">
        <v>22</v>
      </c>
      <c r="J182" s="9" t="s">
        <v>30</v>
      </c>
      <c r="K182" s="9" t="s">
        <v>31</v>
      </c>
      <c r="L182" s="8" t="s">
        <v>930</v>
      </c>
      <c r="M182" s="8" t="s">
        <v>45</v>
      </c>
      <c r="N182" s="10" t="n">
        <v>7.5</v>
      </c>
    </row>
    <row r="183" customFormat="false" ht="95.5" hidden="false" customHeight="false" outlineLevel="0" collapsed="false">
      <c r="B183" s="4" t="s">
        <v>931</v>
      </c>
      <c r="C183" s="4" t="s">
        <v>841</v>
      </c>
      <c r="D183" s="4" t="s">
        <v>932</v>
      </c>
      <c r="E183" s="4" t="s">
        <v>933</v>
      </c>
      <c r="F183" s="4" t="s">
        <v>934</v>
      </c>
      <c r="G183" s="4" t="s">
        <v>42</v>
      </c>
      <c r="H183" s="4" t="s">
        <v>20</v>
      </c>
      <c r="I183" s="4" t="s">
        <v>22</v>
      </c>
      <c r="J183" s="5" t="s">
        <v>30</v>
      </c>
      <c r="K183" s="5" t="s">
        <v>31</v>
      </c>
      <c r="L183" s="4" t="s">
        <v>935</v>
      </c>
      <c r="M183" s="4" t="s">
        <v>25</v>
      </c>
      <c r="N183" s="7" t="n">
        <v>7.5</v>
      </c>
    </row>
    <row r="184" customFormat="false" ht="95.5" hidden="false" customHeight="false" outlineLevel="0" collapsed="false">
      <c r="B184" s="8" t="s">
        <v>936</v>
      </c>
      <c r="C184" s="8" t="s">
        <v>841</v>
      </c>
      <c r="D184" s="8" t="s">
        <v>937</v>
      </c>
      <c r="E184" s="8" t="s">
        <v>938</v>
      </c>
      <c r="F184" s="8" t="s">
        <v>939</v>
      </c>
      <c r="G184" s="8" t="s">
        <v>42</v>
      </c>
      <c r="H184" s="8" t="s">
        <v>43</v>
      </c>
      <c r="I184" s="8" t="s">
        <v>22</v>
      </c>
      <c r="J184" s="9" t="s">
        <v>30</v>
      </c>
      <c r="K184" s="11" t="s">
        <v>23</v>
      </c>
      <c r="L184" s="8" t="s">
        <v>940</v>
      </c>
      <c r="M184" s="8" t="s">
        <v>45</v>
      </c>
      <c r="N184" s="10" t="n">
        <v>8</v>
      </c>
    </row>
    <row r="185" customFormat="false" ht="108.95" hidden="false" customHeight="false" outlineLevel="0" collapsed="false">
      <c r="B185" s="4" t="s">
        <v>941</v>
      </c>
      <c r="C185" s="4" t="s">
        <v>942</v>
      </c>
      <c r="D185" s="4" t="s">
        <v>943</v>
      </c>
      <c r="E185" s="4" t="s">
        <v>944</v>
      </c>
      <c r="F185" s="4" t="s">
        <v>945</v>
      </c>
      <c r="G185" s="4" t="s">
        <v>76</v>
      </c>
      <c r="H185" s="4" t="s">
        <v>43</v>
      </c>
      <c r="I185" s="4" t="s">
        <v>22</v>
      </c>
      <c r="J185" s="5" t="s">
        <v>30</v>
      </c>
      <c r="K185" s="6" t="s">
        <v>23</v>
      </c>
      <c r="L185" s="4" t="s">
        <v>946</v>
      </c>
      <c r="M185" s="4" t="s">
        <v>45</v>
      </c>
      <c r="N185" s="7" t="n">
        <v>6.5</v>
      </c>
    </row>
    <row r="186" customFormat="false" ht="95.5" hidden="false" customHeight="false" outlineLevel="0" collapsed="false">
      <c r="B186" s="8" t="s">
        <v>947</v>
      </c>
      <c r="C186" s="8" t="s">
        <v>942</v>
      </c>
      <c r="D186" s="8" t="s">
        <v>948</v>
      </c>
      <c r="E186" s="8" t="s">
        <v>949</v>
      </c>
      <c r="F186" s="8" t="s">
        <v>950</v>
      </c>
      <c r="G186" s="8" t="s">
        <v>42</v>
      </c>
      <c r="H186" s="8" t="s">
        <v>43</v>
      </c>
      <c r="I186" s="9" t="s">
        <v>21</v>
      </c>
      <c r="J186" s="8" t="s">
        <v>22</v>
      </c>
      <c r="K186" s="11" t="s">
        <v>23</v>
      </c>
      <c r="L186" s="8" t="s">
        <v>951</v>
      </c>
      <c r="M186" s="8" t="s">
        <v>45</v>
      </c>
      <c r="N186" s="10" t="n">
        <v>8</v>
      </c>
    </row>
    <row r="187" customFormat="false" ht="68.65" hidden="false" customHeight="false" outlineLevel="0" collapsed="false">
      <c r="B187" s="4" t="s">
        <v>952</v>
      </c>
      <c r="C187" s="4" t="s">
        <v>942</v>
      </c>
      <c r="D187" s="4" t="s">
        <v>953</v>
      </c>
      <c r="E187" s="4" t="s">
        <v>954</v>
      </c>
      <c r="F187" s="4" t="s">
        <v>955</v>
      </c>
      <c r="G187" s="4" t="s">
        <v>150</v>
      </c>
      <c r="H187" s="4" t="s">
        <v>43</v>
      </c>
      <c r="I187" s="5" t="s">
        <v>21</v>
      </c>
      <c r="J187" s="5" t="s">
        <v>30</v>
      </c>
      <c r="K187" s="6" t="s">
        <v>23</v>
      </c>
      <c r="L187" s="4" t="s">
        <v>956</v>
      </c>
      <c r="M187" s="4" t="s">
        <v>45</v>
      </c>
      <c r="N187" s="7" t="n">
        <v>7.5</v>
      </c>
    </row>
    <row r="188" customFormat="false" ht="82.05" hidden="false" customHeight="false" outlineLevel="0" collapsed="false">
      <c r="B188" s="8" t="s">
        <v>957</v>
      </c>
      <c r="C188" s="8" t="s">
        <v>942</v>
      </c>
      <c r="D188" s="8" t="s">
        <v>958</v>
      </c>
      <c r="E188" s="8" t="s">
        <v>959</v>
      </c>
      <c r="F188" s="8" t="s">
        <v>960</v>
      </c>
      <c r="G188" s="8" t="s">
        <v>42</v>
      </c>
      <c r="H188" s="8" t="s">
        <v>43</v>
      </c>
      <c r="I188" s="9" t="s">
        <v>21</v>
      </c>
      <c r="J188" s="8" t="s">
        <v>22</v>
      </c>
      <c r="K188" s="11" t="s">
        <v>23</v>
      </c>
      <c r="L188" s="8" t="s">
        <v>961</v>
      </c>
      <c r="M188" s="8" t="s">
        <v>45</v>
      </c>
      <c r="N188" s="10" t="n">
        <v>7</v>
      </c>
    </row>
    <row r="189" customFormat="false" ht="95.5" hidden="false" customHeight="false" outlineLevel="0" collapsed="false">
      <c r="B189" s="4" t="s">
        <v>962</v>
      </c>
      <c r="C189" s="4" t="s">
        <v>942</v>
      </c>
      <c r="D189" s="4" t="s">
        <v>963</v>
      </c>
      <c r="E189" s="4" t="s">
        <v>964</v>
      </c>
      <c r="F189" s="4" t="s">
        <v>965</v>
      </c>
      <c r="G189" s="4" t="s">
        <v>42</v>
      </c>
      <c r="H189" s="4" t="s">
        <v>43</v>
      </c>
      <c r="I189" s="4" t="s">
        <v>22</v>
      </c>
      <c r="J189" s="5" t="s">
        <v>30</v>
      </c>
      <c r="K189" s="5" t="s">
        <v>31</v>
      </c>
      <c r="L189" s="4" t="s">
        <v>966</v>
      </c>
      <c r="M189" s="4" t="s">
        <v>45</v>
      </c>
      <c r="N189" s="7" t="n">
        <v>7.5</v>
      </c>
    </row>
    <row r="190" customFormat="false" ht="95.5" hidden="false" customHeight="false" outlineLevel="0" collapsed="false">
      <c r="B190" s="8" t="s">
        <v>967</v>
      </c>
      <c r="C190" s="8" t="s">
        <v>942</v>
      </c>
      <c r="D190" s="8" t="s">
        <v>968</v>
      </c>
      <c r="E190" s="8" t="s">
        <v>969</v>
      </c>
      <c r="F190" s="8" t="s">
        <v>970</v>
      </c>
      <c r="G190" s="8" t="s">
        <v>150</v>
      </c>
      <c r="H190" s="8" t="s">
        <v>43</v>
      </c>
      <c r="I190" s="8" t="s">
        <v>22</v>
      </c>
      <c r="J190" s="8" t="s">
        <v>22</v>
      </c>
      <c r="K190" s="11" t="s">
        <v>23</v>
      </c>
      <c r="L190" s="8" t="s">
        <v>971</v>
      </c>
      <c r="M190" s="8" t="s">
        <v>45</v>
      </c>
      <c r="N190" s="10" t="n">
        <v>7</v>
      </c>
    </row>
    <row r="191" customFormat="false" ht="82.05" hidden="false" customHeight="false" outlineLevel="0" collapsed="false">
      <c r="B191" s="4" t="s">
        <v>972</v>
      </c>
      <c r="C191" s="4" t="s">
        <v>942</v>
      </c>
      <c r="D191" s="4" t="s">
        <v>973</v>
      </c>
      <c r="E191" s="4" t="s">
        <v>974</v>
      </c>
      <c r="F191" s="4" t="s">
        <v>975</v>
      </c>
      <c r="G191" s="4" t="s">
        <v>42</v>
      </c>
      <c r="H191" s="4" t="s">
        <v>43</v>
      </c>
      <c r="I191" s="4" t="s">
        <v>22</v>
      </c>
      <c r="J191" s="4" t="s">
        <v>22</v>
      </c>
      <c r="K191" s="5" t="s">
        <v>31</v>
      </c>
      <c r="L191" s="4" t="s">
        <v>976</v>
      </c>
      <c r="M191" s="4" t="s">
        <v>45</v>
      </c>
      <c r="N191" s="7" t="n">
        <v>6.5</v>
      </c>
    </row>
    <row r="192" customFormat="false" ht="95.5" hidden="false" customHeight="false" outlineLevel="0" collapsed="false">
      <c r="B192" s="8" t="s">
        <v>977</v>
      </c>
      <c r="C192" s="8" t="s">
        <v>942</v>
      </c>
      <c r="D192" s="8" t="s">
        <v>978</v>
      </c>
      <c r="E192" s="8" t="s">
        <v>979</v>
      </c>
      <c r="F192" s="8" t="s">
        <v>980</v>
      </c>
      <c r="G192" s="8" t="s">
        <v>150</v>
      </c>
      <c r="H192" s="8" t="s">
        <v>43</v>
      </c>
      <c r="I192" s="8" t="s">
        <v>22</v>
      </c>
      <c r="J192" s="8" t="s">
        <v>22</v>
      </c>
      <c r="K192" s="9" t="s">
        <v>31</v>
      </c>
      <c r="L192" s="8" t="s">
        <v>981</v>
      </c>
      <c r="M192" s="8" t="s">
        <v>45</v>
      </c>
      <c r="N192" s="10" t="n">
        <v>7.5</v>
      </c>
    </row>
    <row r="193" customFormat="false" ht="95.5" hidden="false" customHeight="false" outlineLevel="0" collapsed="false">
      <c r="B193" s="4" t="s">
        <v>982</v>
      </c>
      <c r="C193" s="4" t="s">
        <v>942</v>
      </c>
      <c r="D193" s="4" t="s">
        <v>983</v>
      </c>
      <c r="E193" s="4" t="s">
        <v>984</v>
      </c>
      <c r="F193" s="4" t="s">
        <v>985</v>
      </c>
      <c r="G193" s="4" t="s">
        <v>42</v>
      </c>
      <c r="H193" s="4" t="s">
        <v>43</v>
      </c>
      <c r="I193" s="5" t="s">
        <v>21</v>
      </c>
      <c r="J193" s="4" t="s">
        <v>22</v>
      </c>
      <c r="K193" s="6" t="s">
        <v>23</v>
      </c>
      <c r="L193" s="4" t="s">
        <v>986</v>
      </c>
      <c r="M193" s="4" t="s">
        <v>25</v>
      </c>
      <c r="N193" s="7" t="n">
        <v>8</v>
      </c>
    </row>
    <row r="194" customFormat="false" ht="68.65" hidden="false" customHeight="false" outlineLevel="0" collapsed="false">
      <c r="B194" s="8" t="s">
        <v>987</v>
      </c>
      <c r="C194" s="8" t="s">
        <v>942</v>
      </c>
      <c r="D194" s="8" t="s">
        <v>988</v>
      </c>
      <c r="E194" s="8" t="s">
        <v>989</v>
      </c>
      <c r="F194" s="8" t="s">
        <v>990</v>
      </c>
      <c r="G194" s="8" t="s">
        <v>42</v>
      </c>
      <c r="H194" s="8" t="s">
        <v>43</v>
      </c>
      <c r="I194" s="8" t="s">
        <v>22</v>
      </c>
      <c r="J194" s="8" t="s">
        <v>22</v>
      </c>
      <c r="K194" s="11" t="s">
        <v>23</v>
      </c>
      <c r="L194" s="8" t="s">
        <v>991</v>
      </c>
      <c r="M194" s="8" t="s">
        <v>45</v>
      </c>
      <c r="N194" s="10" t="n">
        <v>7</v>
      </c>
    </row>
    <row r="195" customFormat="false" ht="82.05" hidden="false" customHeight="false" outlineLevel="0" collapsed="false">
      <c r="B195" s="4" t="s">
        <v>992</v>
      </c>
      <c r="C195" s="4" t="s">
        <v>942</v>
      </c>
      <c r="D195" s="4" t="s">
        <v>993</v>
      </c>
      <c r="E195" s="4" t="s">
        <v>994</v>
      </c>
      <c r="F195" s="4" t="s">
        <v>995</v>
      </c>
      <c r="G195" s="4" t="s">
        <v>42</v>
      </c>
      <c r="H195" s="4" t="s">
        <v>43</v>
      </c>
      <c r="I195" s="5" t="s">
        <v>21</v>
      </c>
      <c r="J195" s="13" t="s">
        <v>88</v>
      </c>
      <c r="K195" s="6" t="s">
        <v>23</v>
      </c>
      <c r="L195" s="4" t="s">
        <v>996</v>
      </c>
      <c r="M195" s="4" t="s">
        <v>45</v>
      </c>
      <c r="N195" s="7" t="n">
        <v>7.5</v>
      </c>
    </row>
    <row r="196" customFormat="false" ht="82.05" hidden="false" customHeight="false" outlineLevel="0" collapsed="false">
      <c r="B196" s="8" t="s">
        <v>997</v>
      </c>
      <c r="C196" s="8" t="s">
        <v>942</v>
      </c>
      <c r="D196" s="8" t="s">
        <v>998</v>
      </c>
      <c r="E196" s="8" t="s">
        <v>999</v>
      </c>
      <c r="F196" s="8" t="s">
        <v>1000</v>
      </c>
      <c r="G196" s="8" t="s">
        <v>19</v>
      </c>
      <c r="H196" s="8" t="s">
        <v>20</v>
      </c>
      <c r="I196" s="9" t="s">
        <v>21</v>
      </c>
      <c r="J196" s="9" t="s">
        <v>30</v>
      </c>
      <c r="K196" s="11" t="s">
        <v>23</v>
      </c>
      <c r="L196" s="8" t="s">
        <v>1001</v>
      </c>
      <c r="M196" s="8" t="s">
        <v>25</v>
      </c>
      <c r="N196" s="10" t="n">
        <v>8.5</v>
      </c>
    </row>
    <row r="197" customFormat="false" ht="82.05" hidden="false" customHeight="false" outlineLevel="0" collapsed="false">
      <c r="B197" s="4" t="s">
        <v>1002</v>
      </c>
      <c r="C197" s="4" t="s">
        <v>942</v>
      </c>
      <c r="D197" s="4" t="s">
        <v>1003</v>
      </c>
      <c r="E197" s="4" t="s">
        <v>1004</v>
      </c>
      <c r="F197" s="4" t="s">
        <v>1005</v>
      </c>
      <c r="G197" s="4" t="s">
        <v>42</v>
      </c>
      <c r="H197" s="4" t="s">
        <v>43</v>
      </c>
      <c r="I197" s="4" t="s">
        <v>22</v>
      </c>
      <c r="J197" s="5" t="s">
        <v>30</v>
      </c>
      <c r="K197" s="5" t="s">
        <v>31</v>
      </c>
      <c r="L197" s="4" t="s">
        <v>1006</v>
      </c>
      <c r="M197" s="4" t="s">
        <v>45</v>
      </c>
      <c r="N197" s="7" t="n">
        <v>7</v>
      </c>
    </row>
    <row r="198" customFormat="false" ht="95.5" hidden="false" customHeight="false" outlineLevel="0" collapsed="false">
      <c r="B198" s="8" t="s">
        <v>1007</v>
      </c>
      <c r="C198" s="8" t="s">
        <v>942</v>
      </c>
      <c r="D198" s="8" t="s">
        <v>1008</v>
      </c>
      <c r="E198" s="8" t="s">
        <v>1009</v>
      </c>
      <c r="F198" s="8" t="s">
        <v>1010</v>
      </c>
      <c r="G198" s="8" t="s">
        <v>150</v>
      </c>
      <c r="H198" s="8" t="s">
        <v>20</v>
      </c>
      <c r="I198" s="9" t="s">
        <v>21</v>
      </c>
      <c r="J198" s="8" t="s">
        <v>22</v>
      </c>
      <c r="K198" s="9" t="s">
        <v>31</v>
      </c>
      <c r="L198" s="8" t="s">
        <v>1011</v>
      </c>
      <c r="M198" s="8" t="s">
        <v>25</v>
      </c>
      <c r="N198" s="10" t="n">
        <v>8.5</v>
      </c>
    </row>
    <row r="199" customFormat="false" ht="95.5" hidden="false" customHeight="false" outlineLevel="0" collapsed="false">
      <c r="B199" s="4" t="s">
        <v>1012</v>
      </c>
      <c r="C199" s="4" t="s">
        <v>942</v>
      </c>
      <c r="D199" s="4" t="s">
        <v>1013</v>
      </c>
      <c r="E199" s="4" t="s">
        <v>1014</v>
      </c>
      <c r="F199" s="4" t="s">
        <v>1015</v>
      </c>
      <c r="G199" s="4" t="s">
        <v>150</v>
      </c>
      <c r="H199" s="4" t="s">
        <v>43</v>
      </c>
      <c r="I199" s="4" t="s">
        <v>22</v>
      </c>
      <c r="J199" s="5" t="s">
        <v>30</v>
      </c>
      <c r="K199" s="6" t="s">
        <v>23</v>
      </c>
      <c r="L199" s="4" t="s">
        <v>1016</v>
      </c>
      <c r="M199" s="4" t="s">
        <v>45</v>
      </c>
      <c r="N199" s="7" t="n">
        <v>7.5</v>
      </c>
    </row>
    <row r="200" customFormat="false" ht="95.5" hidden="false" customHeight="false" outlineLevel="0" collapsed="false">
      <c r="B200" s="8" t="s">
        <v>1017</v>
      </c>
      <c r="C200" s="8" t="s">
        <v>942</v>
      </c>
      <c r="D200" s="8" t="s">
        <v>1018</v>
      </c>
      <c r="E200" s="8" t="s">
        <v>1019</v>
      </c>
      <c r="F200" s="8" t="s">
        <v>1020</v>
      </c>
      <c r="G200" s="8" t="s">
        <v>150</v>
      </c>
      <c r="H200" s="8" t="s">
        <v>20</v>
      </c>
      <c r="I200" s="8" t="s">
        <v>22</v>
      </c>
      <c r="J200" s="9" t="s">
        <v>30</v>
      </c>
      <c r="K200" s="11" t="s">
        <v>23</v>
      </c>
      <c r="L200" s="8" t="s">
        <v>1021</v>
      </c>
      <c r="M200" s="8" t="s">
        <v>45</v>
      </c>
      <c r="N200" s="10" t="n">
        <v>7</v>
      </c>
    </row>
    <row r="201" customFormat="false" ht="108.95" hidden="false" customHeight="false" outlineLevel="0" collapsed="false">
      <c r="B201" s="4" t="s">
        <v>1022</v>
      </c>
      <c r="C201" s="4" t="s">
        <v>942</v>
      </c>
      <c r="D201" s="4" t="s">
        <v>1023</v>
      </c>
      <c r="E201" s="4" t="s">
        <v>1024</v>
      </c>
      <c r="F201" s="4" t="s">
        <v>1025</v>
      </c>
      <c r="G201" s="4" t="s">
        <v>42</v>
      </c>
      <c r="H201" s="4" t="s">
        <v>20</v>
      </c>
      <c r="I201" s="4" t="s">
        <v>22</v>
      </c>
      <c r="J201" s="5" t="s">
        <v>30</v>
      </c>
      <c r="K201" s="6" t="s">
        <v>23</v>
      </c>
      <c r="L201" s="4" t="s">
        <v>1026</v>
      </c>
      <c r="M201" s="4" t="s">
        <v>45</v>
      </c>
      <c r="N201" s="7" t="n">
        <v>6.5</v>
      </c>
    </row>
    <row r="202" customFormat="false" ht="82.05" hidden="false" customHeight="false" outlineLevel="0" collapsed="false">
      <c r="B202" s="8" t="s">
        <v>1027</v>
      </c>
      <c r="C202" s="8" t="s">
        <v>942</v>
      </c>
      <c r="D202" s="8" t="s">
        <v>1028</v>
      </c>
      <c r="E202" s="8" t="s">
        <v>1029</v>
      </c>
      <c r="F202" s="8" t="s">
        <v>1030</v>
      </c>
      <c r="G202" s="8" t="s">
        <v>42</v>
      </c>
      <c r="H202" s="8" t="s">
        <v>43</v>
      </c>
      <c r="I202" s="8" t="s">
        <v>22</v>
      </c>
      <c r="J202" s="9" t="s">
        <v>30</v>
      </c>
      <c r="K202" s="11" t="s">
        <v>23</v>
      </c>
      <c r="L202" s="8" t="s">
        <v>1031</v>
      </c>
      <c r="M202" s="8" t="s">
        <v>45</v>
      </c>
      <c r="N202" s="10" t="n">
        <v>7</v>
      </c>
    </row>
    <row r="203" customFormat="false" ht="95.5" hidden="false" customHeight="false" outlineLevel="0" collapsed="false">
      <c r="B203" s="4" t="s">
        <v>1032</v>
      </c>
      <c r="C203" s="4" t="s">
        <v>942</v>
      </c>
      <c r="D203" s="4" t="s">
        <v>1033</v>
      </c>
      <c r="E203" s="4" t="s">
        <v>1034</v>
      </c>
      <c r="F203" s="4" t="s">
        <v>1035</v>
      </c>
      <c r="G203" s="4" t="s">
        <v>42</v>
      </c>
      <c r="H203" s="4" t="s">
        <v>43</v>
      </c>
      <c r="I203" s="4" t="s">
        <v>22</v>
      </c>
      <c r="J203" s="5" t="s">
        <v>30</v>
      </c>
      <c r="K203" s="5" t="s">
        <v>31</v>
      </c>
      <c r="L203" s="4" t="s">
        <v>1036</v>
      </c>
      <c r="M203" s="4" t="s">
        <v>45</v>
      </c>
      <c r="N203" s="7" t="n">
        <v>7.5</v>
      </c>
    </row>
    <row r="204" customFormat="false" ht="82.05" hidden="false" customHeight="false" outlineLevel="0" collapsed="false">
      <c r="B204" s="8" t="s">
        <v>1037</v>
      </c>
      <c r="C204" s="8" t="s">
        <v>942</v>
      </c>
      <c r="D204" s="8" t="s">
        <v>1038</v>
      </c>
      <c r="E204" s="8" t="s">
        <v>1039</v>
      </c>
      <c r="F204" s="8" t="s">
        <v>1040</v>
      </c>
      <c r="G204" s="8" t="s">
        <v>150</v>
      </c>
      <c r="H204" s="8" t="s">
        <v>43</v>
      </c>
      <c r="I204" s="8" t="s">
        <v>22</v>
      </c>
      <c r="J204" s="9" t="s">
        <v>30</v>
      </c>
      <c r="K204" s="11" t="s">
        <v>23</v>
      </c>
      <c r="L204" s="8" t="s">
        <v>1041</v>
      </c>
      <c r="M204" s="8" t="s">
        <v>45</v>
      </c>
      <c r="N204" s="10" t="n">
        <v>7</v>
      </c>
    </row>
    <row r="205" customFormat="false" ht="95.5" hidden="false" customHeight="false" outlineLevel="0" collapsed="false">
      <c r="B205" s="4" t="s">
        <v>1042</v>
      </c>
      <c r="C205" s="4" t="s">
        <v>1043</v>
      </c>
      <c r="D205" s="4" t="s">
        <v>1044</v>
      </c>
      <c r="E205" s="4" t="s">
        <v>1045</v>
      </c>
      <c r="F205" s="4" t="s">
        <v>1046</v>
      </c>
      <c r="G205" s="4" t="s">
        <v>42</v>
      </c>
      <c r="H205" s="4" t="s">
        <v>43</v>
      </c>
      <c r="I205" s="5" t="s">
        <v>21</v>
      </c>
      <c r="J205" s="4" t="s">
        <v>22</v>
      </c>
      <c r="K205" s="6" t="s">
        <v>23</v>
      </c>
      <c r="L205" s="4" t="s">
        <v>1047</v>
      </c>
      <c r="M205" s="4" t="s">
        <v>25</v>
      </c>
      <c r="N205" s="7" t="n">
        <v>7.5</v>
      </c>
    </row>
    <row r="206" customFormat="false" ht="95.5" hidden="false" customHeight="false" outlineLevel="0" collapsed="false">
      <c r="B206" s="8" t="s">
        <v>1048</v>
      </c>
      <c r="C206" s="8" t="s">
        <v>1043</v>
      </c>
      <c r="D206" s="8" t="s">
        <v>1049</v>
      </c>
      <c r="E206" s="8" t="s">
        <v>1050</v>
      </c>
      <c r="F206" s="8" t="s">
        <v>1051</v>
      </c>
      <c r="G206" s="8" t="s">
        <v>150</v>
      </c>
      <c r="H206" s="8" t="s">
        <v>43</v>
      </c>
      <c r="I206" s="9" t="s">
        <v>21</v>
      </c>
      <c r="J206" s="8" t="s">
        <v>22</v>
      </c>
      <c r="K206" s="11" t="s">
        <v>23</v>
      </c>
      <c r="L206" s="8" t="s">
        <v>1052</v>
      </c>
      <c r="M206" s="8" t="s">
        <v>25</v>
      </c>
      <c r="N206" s="10" t="n">
        <v>7.5</v>
      </c>
    </row>
    <row r="207" customFormat="false" ht="82.05" hidden="false" customHeight="false" outlineLevel="0" collapsed="false">
      <c r="B207" s="4" t="s">
        <v>1053</v>
      </c>
      <c r="C207" s="4" t="s">
        <v>1043</v>
      </c>
      <c r="D207" s="4" t="s">
        <v>1054</v>
      </c>
      <c r="E207" s="4" t="s">
        <v>1055</v>
      </c>
      <c r="F207" s="4" t="s">
        <v>1056</v>
      </c>
      <c r="G207" s="4" t="s">
        <v>50</v>
      </c>
      <c r="H207" s="4" t="s">
        <v>43</v>
      </c>
      <c r="I207" s="5" t="s">
        <v>21</v>
      </c>
      <c r="J207" s="4" t="s">
        <v>22</v>
      </c>
      <c r="K207" s="6" t="s">
        <v>23</v>
      </c>
      <c r="L207" s="4" t="s">
        <v>1057</v>
      </c>
      <c r="M207" s="4" t="s">
        <v>25</v>
      </c>
      <c r="N207" s="7" t="n">
        <v>9</v>
      </c>
    </row>
    <row r="208" customFormat="false" ht="95.5" hidden="false" customHeight="false" outlineLevel="0" collapsed="false">
      <c r="B208" s="8" t="s">
        <v>1058</v>
      </c>
      <c r="C208" s="8" t="s">
        <v>1043</v>
      </c>
      <c r="D208" s="8" t="s">
        <v>1059</v>
      </c>
      <c r="E208" s="8" t="s">
        <v>1060</v>
      </c>
      <c r="F208" s="8" t="s">
        <v>1061</v>
      </c>
      <c r="G208" s="8" t="s">
        <v>87</v>
      </c>
      <c r="H208" s="8" t="s">
        <v>20</v>
      </c>
      <c r="I208" s="9" t="s">
        <v>21</v>
      </c>
      <c r="J208" s="9" t="s">
        <v>30</v>
      </c>
      <c r="K208" s="9" t="s">
        <v>31</v>
      </c>
      <c r="L208" s="8" t="s">
        <v>1062</v>
      </c>
      <c r="M208" s="8" t="s">
        <v>25</v>
      </c>
      <c r="N208" s="10" t="n">
        <v>9</v>
      </c>
    </row>
    <row r="209" customFormat="false" ht="82.05" hidden="false" customHeight="false" outlineLevel="0" collapsed="false">
      <c r="B209" s="4" t="s">
        <v>1063</v>
      </c>
      <c r="C209" s="4" t="s">
        <v>1043</v>
      </c>
      <c r="D209" s="4" t="s">
        <v>1064</v>
      </c>
      <c r="E209" s="4" t="s">
        <v>1065</v>
      </c>
      <c r="F209" s="4" t="s">
        <v>1066</v>
      </c>
      <c r="G209" s="4" t="s">
        <v>19</v>
      </c>
      <c r="H209" s="4" t="s">
        <v>20</v>
      </c>
      <c r="I209" s="4" t="s">
        <v>22</v>
      </c>
      <c r="J209" s="5" t="s">
        <v>30</v>
      </c>
      <c r="K209" s="6" t="s">
        <v>23</v>
      </c>
      <c r="L209" s="4" t="s">
        <v>1067</v>
      </c>
      <c r="M209" s="4" t="s">
        <v>25</v>
      </c>
      <c r="N209" s="7" t="n">
        <v>8</v>
      </c>
    </row>
    <row r="210" customFormat="false" ht="95.5" hidden="false" customHeight="false" outlineLevel="0" collapsed="false">
      <c r="B210" s="8" t="s">
        <v>1068</v>
      </c>
      <c r="C210" s="8" t="s">
        <v>1043</v>
      </c>
      <c r="D210" s="8" t="s">
        <v>1069</v>
      </c>
      <c r="E210" s="8" t="s">
        <v>1070</v>
      </c>
      <c r="F210" s="8" t="s">
        <v>1071</v>
      </c>
      <c r="G210" s="8" t="s">
        <v>87</v>
      </c>
      <c r="H210" s="8" t="s">
        <v>43</v>
      </c>
      <c r="I210" s="8" t="s">
        <v>22</v>
      </c>
      <c r="J210" s="9" t="s">
        <v>30</v>
      </c>
      <c r="K210" s="11" t="s">
        <v>23</v>
      </c>
      <c r="L210" s="8" t="s">
        <v>1072</v>
      </c>
      <c r="M210" s="8" t="s">
        <v>25</v>
      </c>
      <c r="N210" s="10" t="n">
        <v>7.5</v>
      </c>
    </row>
    <row r="211" customFormat="false" ht="82.05" hidden="false" customHeight="false" outlineLevel="0" collapsed="false">
      <c r="B211" s="4" t="s">
        <v>1073</v>
      </c>
      <c r="C211" s="4" t="s">
        <v>1043</v>
      </c>
      <c r="D211" s="4" t="s">
        <v>1074</v>
      </c>
      <c r="E211" s="4" t="s">
        <v>1075</v>
      </c>
      <c r="F211" s="4" t="s">
        <v>1076</v>
      </c>
      <c r="G211" s="4" t="s">
        <v>42</v>
      </c>
      <c r="H211" s="4" t="s">
        <v>43</v>
      </c>
      <c r="I211" s="5" t="s">
        <v>21</v>
      </c>
      <c r="J211" s="4" t="s">
        <v>22</v>
      </c>
      <c r="K211" s="6" t="s">
        <v>23</v>
      </c>
      <c r="L211" s="4" t="s">
        <v>1077</v>
      </c>
      <c r="M211" s="4" t="s">
        <v>25</v>
      </c>
      <c r="N211" s="7" t="n">
        <v>8</v>
      </c>
    </row>
    <row r="212" customFormat="false" ht="82.05" hidden="false" customHeight="false" outlineLevel="0" collapsed="false">
      <c r="B212" s="8" t="s">
        <v>1078</v>
      </c>
      <c r="C212" s="8" t="s">
        <v>1043</v>
      </c>
      <c r="D212" s="8" t="s">
        <v>1079</v>
      </c>
      <c r="E212" s="8" t="s">
        <v>1080</v>
      </c>
      <c r="F212" s="8" t="s">
        <v>1081</v>
      </c>
      <c r="G212" s="8" t="s">
        <v>19</v>
      </c>
      <c r="H212" s="8" t="s">
        <v>20</v>
      </c>
      <c r="I212" s="9" t="s">
        <v>21</v>
      </c>
      <c r="J212" s="9" t="s">
        <v>30</v>
      </c>
      <c r="K212" s="11" t="s">
        <v>23</v>
      </c>
      <c r="L212" s="8" t="s">
        <v>1082</v>
      </c>
      <c r="M212" s="8" t="s">
        <v>25</v>
      </c>
      <c r="N212" s="10" t="n">
        <v>9</v>
      </c>
    </row>
    <row r="213" customFormat="false" ht="95.5" hidden="false" customHeight="false" outlineLevel="0" collapsed="false">
      <c r="B213" s="4" t="s">
        <v>1083</v>
      </c>
      <c r="C213" s="4" t="s">
        <v>1043</v>
      </c>
      <c r="D213" s="4" t="s">
        <v>1084</v>
      </c>
      <c r="E213" s="4" t="s">
        <v>1085</v>
      </c>
      <c r="F213" s="4" t="s">
        <v>1086</v>
      </c>
      <c r="G213" s="4" t="s">
        <v>87</v>
      </c>
      <c r="H213" s="4" t="s">
        <v>20</v>
      </c>
      <c r="I213" s="5" t="s">
        <v>21</v>
      </c>
      <c r="J213" s="4" t="s">
        <v>22</v>
      </c>
      <c r="K213" s="5" t="s">
        <v>31</v>
      </c>
      <c r="L213" s="4" t="s">
        <v>1087</v>
      </c>
      <c r="M213" s="4" t="s">
        <v>25</v>
      </c>
      <c r="N213" s="7" t="n">
        <v>8</v>
      </c>
    </row>
    <row r="214" customFormat="false" ht="95.5" hidden="false" customHeight="false" outlineLevel="0" collapsed="false">
      <c r="B214" s="8" t="s">
        <v>1088</v>
      </c>
      <c r="C214" s="8" t="s">
        <v>1043</v>
      </c>
      <c r="D214" s="8" t="s">
        <v>1089</v>
      </c>
      <c r="E214" s="8" t="s">
        <v>1090</v>
      </c>
      <c r="F214" s="8" t="s">
        <v>1091</v>
      </c>
      <c r="G214" s="8" t="s">
        <v>76</v>
      </c>
      <c r="H214" s="8" t="s">
        <v>20</v>
      </c>
      <c r="I214" s="9" t="s">
        <v>21</v>
      </c>
      <c r="J214" s="9" t="s">
        <v>30</v>
      </c>
      <c r="K214" s="11" t="s">
        <v>23</v>
      </c>
      <c r="L214" s="8" t="s">
        <v>1092</v>
      </c>
      <c r="M214" s="8" t="s">
        <v>1093</v>
      </c>
      <c r="N214" s="10" t="n">
        <v>9</v>
      </c>
    </row>
    <row r="215" customFormat="false" ht="82.05" hidden="false" customHeight="false" outlineLevel="0" collapsed="false">
      <c r="B215" s="4" t="s">
        <v>1094</v>
      </c>
      <c r="C215" s="4" t="s">
        <v>1043</v>
      </c>
      <c r="D215" s="4" t="s">
        <v>1095</v>
      </c>
      <c r="E215" s="4" t="s">
        <v>1096</v>
      </c>
      <c r="F215" s="4" t="s">
        <v>1097</v>
      </c>
      <c r="G215" s="4" t="s">
        <v>76</v>
      </c>
      <c r="H215" s="4" t="s">
        <v>20</v>
      </c>
      <c r="I215" s="4" t="s">
        <v>22</v>
      </c>
      <c r="J215" s="5" t="s">
        <v>30</v>
      </c>
      <c r="K215" s="5" t="s">
        <v>31</v>
      </c>
      <c r="L215" s="4" t="s">
        <v>1098</v>
      </c>
      <c r="M215" s="4" t="s">
        <v>25</v>
      </c>
      <c r="N215" s="7" t="n">
        <v>7.5</v>
      </c>
    </row>
    <row r="216" customFormat="false" ht="82.05" hidden="false" customHeight="false" outlineLevel="0" collapsed="false">
      <c r="B216" s="8" t="s">
        <v>1099</v>
      </c>
      <c r="C216" s="8" t="s">
        <v>1043</v>
      </c>
      <c r="D216" s="8" t="s">
        <v>1100</v>
      </c>
      <c r="E216" s="8" t="s">
        <v>1101</v>
      </c>
      <c r="F216" s="8" t="s">
        <v>1102</v>
      </c>
      <c r="G216" s="8" t="s">
        <v>150</v>
      </c>
      <c r="H216" s="8" t="s">
        <v>43</v>
      </c>
      <c r="I216" s="9" t="s">
        <v>21</v>
      </c>
      <c r="J216" s="8" t="s">
        <v>22</v>
      </c>
      <c r="K216" s="11" t="s">
        <v>23</v>
      </c>
      <c r="L216" s="8" t="s">
        <v>1103</v>
      </c>
      <c r="M216" s="8" t="s">
        <v>25</v>
      </c>
      <c r="N216" s="10" t="n">
        <v>8</v>
      </c>
    </row>
    <row r="217" customFormat="false" ht="82.05" hidden="false" customHeight="false" outlineLevel="0" collapsed="false">
      <c r="B217" s="4" t="s">
        <v>1104</v>
      </c>
      <c r="C217" s="4" t="s">
        <v>1043</v>
      </c>
      <c r="D217" s="4" t="s">
        <v>1105</v>
      </c>
      <c r="E217" s="4" t="s">
        <v>1106</v>
      </c>
      <c r="F217" s="4" t="s">
        <v>1107</v>
      </c>
      <c r="G217" s="4" t="s">
        <v>150</v>
      </c>
      <c r="H217" s="4" t="s">
        <v>43</v>
      </c>
      <c r="I217" s="4" t="s">
        <v>22</v>
      </c>
      <c r="J217" s="4" t="s">
        <v>22</v>
      </c>
      <c r="K217" s="5" t="s">
        <v>31</v>
      </c>
      <c r="L217" s="4" t="s">
        <v>1108</v>
      </c>
      <c r="M217" s="4" t="s">
        <v>25</v>
      </c>
      <c r="N217" s="7" t="n">
        <v>7.5</v>
      </c>
    </row>
    <row r="218" customFormat="false" ht="95.5" hidden="false" customHeight="false" outlineLevel="0" collapsed="false">
      <c r="B218" s="8" t="s">
        <v>1109</v>
      </c>
      <c r="C218" s="8" t="s">
        <v>1043</v>
      </c>
      <c r="D218" s="8" t="s">
        <v>1110</v>
      </c>
      <c r="E218" s="8" t="s">
        <v>1111</v>
      </c>
      <c r="F218" s="8" t="s">
        <v>1112</v>
      </c>
      <c r="G218" s="8" t="s">
        <v>87</v>
      </c>
      <c r="H218" s="8" t="s">
        <v>43</v>
      </c>
      <c r="I218" s="9" t="s">
        <v>21</v>
      </c>
      <c r="J218" s="9" t="s">
        <v>30</v>
      </c>
      <c r="K218" s="11" t="s">
        <v>23</v>
      </c>
      <c r="L218" s="8" t="s">
        <v>1113</v>
      </c>
      <c r="M218" s="8" t="s">
        <v>25</v>
      </c>
      <c r="N218" s="10" t="n">
        <v>8</v>
      </c>
    </row>
    <row r="219" customFormat="false" ht="95.5" hidden="false" customHeight="false" outlineLevel="0" collapsed="false">
      <c r="B219" s="4" t="s">
        <v>1114</v>
      </c>
      <c r="C219" s="4" t="s">
        <v>1043</v>
      </c>
      <c r="D219" s="4" t="s">
        <v>1115</v>
      </c>
      <c r="E219" s="4" t="s">
        <v>1116</v>
      </c>
      <c r="F219" s="4" t="s">
        <v>1117</v>
      </c>
      <c r="G219" s="4" t="s">
        <v>87</v>
      </c>
      <c r="H219" s="4" t="s">
        <v>20</v>
      </c>
      <c r="I219" s="5" t="s">
        <v>21</v>
      </c>
      <c r="J219" s="5" t="s">
        <v>30</v>
      </c>
      <c r="K219" s="5" t="s">
        <v>31</v>
      </c>
      <c r="L219" s="4" t="s">
        <v>1118</v>
      </c>
      <c r="M219" s="4" t="s">
        <v>25</v>
      </c>
      <c r="N219" s="7" t="n">
        <v>8.5</v>
      </c>
    </row>
    <row r="220" customFormat="false" ht="68.65" hidden="false" customHeight="false" outlineLevel="0" collapsed="false">
      <c r="B220" s="8" t="s">
        <v>1119</v>
      </c>
      <c r="C220" s="8" t="s">
        <v>1043</v>
      </c>
      <c r="D220" s="8" t="s">
        <v>1120</v>
      </c>
      <c r="E220" s="8" t="s">
        <v>1121</v>
      </c>
      <c r="F220" s="8" t="s">
        <v>1122</v>
      </c>
      <c r="G220" s="8" t="s">
        <v>76</v>
      </c>
      <c r="H220" s="8" t="s">
        <v>20</v>
      </c>
      <c r="I220" s="8" t="s">
        <v>22</v>
      </c>
      <c r="J220" s="9" t="s">
        <v>30</v>
      </c>
      <c r="K220" s="11" t="s">
        <v>23</v>
      </c>
      <c r="L220" s="8" t="s">
        <v>1123</v>
      </c>
      <c r="M220" s="8" t="s">
        <v>339</v>
      </c>
      <c r="N220" s="10" t="n">
        <v>7.5</v>
      </c>
    </row>
    <row r="221" customFormat="false" ht="82.05" hidden="false" customHeight="false" outlineLevel="0" collapsed="false">
      <c r="B221" s="4" t="s">
        <v>1124</v>
      </c>
      <c r="C221" s="4" t="s">
        <v>1043</v>
      </c>
      <c r="D221" s="4" t="s">
        <v>1125</v>
      </c>
      <c r="E221" s="4" t="s">
        <v>1126</v>
      </c>
      <c r="F221" s="4" t="s">
        <v>1127</v>
      </c>
      <c r="G221" s="4" t="s">
        <v>19</v>
      </c>
      <c r="H221" s="4" t="s">
        <v>20</v>
      </c>
      <c r="I221" s="4" t="s">
        <v>22</v>
      </c>
      <c r="J221" s="5" t="s">
        <v>30</v>
      </c>
      <c r="K221" s="5" t="s">
        <v>31</v>
      </c>
      <c r="L221" s="4" t="s">
        <v>1128</v>
      </c>
      <c r="M221" s="4" t="s">
        <v>25</v>
      </c>
      <c r="N221" s="7" t="n">
        <v>8</v>
      </c>
    </row>
    <row r="222" customFormat="false" ht="95.5" hidden="false" customHeight="false" outlineLevel="0" collapsed="false">
      <c r="B222" s="8" t="s">
        <v>1129</v>
      </c>
      <c r="C222" s="8" t="s">
        <v>1043</v>
      </c>
      <c r="D222" s="8" t="s">
        <v>1130</v>
      </c>
      <c r="E222" s="8" t="s">
        <v>1131</v>
      </c>
      <c r="F222" s="8" t="s">
        <v>1132</v>
      </c>
      <c r="G222" s="8" t="s">
        <v>19</v>
      </c>
      <c r="H222" s="8" t="s">
        <v>20</v>
      </c>
      <c r="I222" s="8" t="s">
        <v>22</v>
      </c>
      <c r="J222" s="9" t="s">
        <v>30</v>
      </c>
      <c r="K222" s="11" t="s">
        <v>23</v>
      </c>
      <c r="L222" s="8" t="s">
        <v>1133</v>
      </c>
      <c r="M222" s="8" t="s">
        <v>25</v>
      </c>
      <c r="N222" s="10" t="n">
        <v>8</v>
      </c>
    </row>
    <row r="223" customFormat="false" ht="82.05" hidden="false" customHeight="false" outlineLevel="0" collapsed="false">
      <c r="B223" s="4" t="s">
        <v>1134</v>
      </c>
      <c r="C223" s="4" t="s">
        <v>1043</v>
      </c>
      <c r="D223" s="4" t="s">
        <v>1135</v>
      </c>
      <c r="E223" s="4" t="s">
        <v>1136</v>
      </c>
      <c r="F223" s="4" t="s">
        <v>1137</v>
      </c>
      <c r="G223" s="4" t="s">
        <v>87</v>
      </c>
      <c r="H223" s="4" t="s">
        <v>20</v>
      </c>
      <c r="I223" s="5" t="s">
        <v>21</v>
      </c>
      <c r="J223" s="5" t="s">
        <v>30</v>
      </c>
      <c r="K223" s="6" t="s">
        <v>23</v>
      </c>
      <c r="L223" s="4" t="s">
        <v>1138</v>
      </c>
      <c r="M223" s="4" t="s">
        <v>1093</v>
      </c>
      <c r="N223" s="7" t="n">
        <v>8.5</v>
      </c>
    </row>
    <row r="224" customFormat="false" ht="82.05" hidden="false" customHeight="false" outlineLevel="0" collapsed="false">
      <c r="B224" s="8" t="s">
        <v>1139</v>
      </c>
      <c r="C224" s="8" t="s">
        <v>1043</v>
      </c>
      <c r="D224" s="8" t="s">
        <v>1140</v>
      </c>
      <c r="E224" s="8" t="s">
        <v>1141</v>
      </c>
      <c r="F224" s="8" t="s">
        <v>1142</v>
      </c>
      <c r="G224" s="8" t="s">
        <v>76</v>
      </c>
      <c r="H224" s="8" t="s">
        <v>20</v>
      </c>
      <c r="I224" s="8" t="s">
        <v>22</v>
      </c>
      <c r="J224" s="9" t="s">
        <v>30</v>
      </c>
      <c r="K224" s="11" t="s">
        <v>23</v>
      </c>
      <c r="L224" s="8" t="s">
        <v>1143</v>
      </c>
      <c r="M224" s="8" t="s">
        <v>1093</v>
      </c>
      <c r="N224" s="10" t="n">
        <v>8</v>
      </c>
    </row>
    <row r="225" customFormat="false" ht="95.5" hidden="false" customHeight="false" outlineLevel="0" collapsed="false">
      <c r="B225" s="4" t="s">
        <v>1144</v>
      </c>
      <c r="C225" s="4" t="s">
        <v>1145</v>
      </c>
      <c r="D225" s="4" t="s">
        <v>1146</v>
      </c>
      <c r="E225" s="4" t="s">
        <v>1147</v>
      </c>
      <c r="F225" s="4" t="s">
        <v>1148</v>
      </c>
      <c r="G225" s="4" t="s">
        <v>42</v>
      </c>
      <c r="H225" s="4" t="s">
        <v>43</v>
      </c>
      <c r="I225" s="4" t="s">
        <v>22</v>
      </c>
      <c r="J225" s="4" t="s">
        <v>22</v>
      </c>
      <c r="K225" s="6" t="s">
        <v>23</v>
      </c>
      <c r="L225" s="4" t="s">
        <v>1149</v>
      </c>
      <c r="M225" s="4" t="s">
        <v>45</v>
      </c>
      <c r="N225" s="7" t="n">
        <v>7</v>
      </c>
    </row>
    <row r="226" customFormat="false" ht="82.05" hidden="false" customHeight="false" outlineLevel="0" collapsed="false">
      <c r="B226" s="8" t="s">
        <v>1150</v>
      </c>
      <c r="C226" s="8" t="s">
        <v>1145</v>
      </c>
      <c r="D226" s="8" t="s">
        <v>1151</v>
      </c>
      <c r="E226" s="8" t="s">
        <v>1152</v>
      </c>
      <c r="F226" s="8" t="s">
        <v>1153</v>
      </c>
      <c r="G226" s="8" t="s">
        <v>87</v>
      </c>
      <c r="H226" s="8" t="s">
        <v>20</v>
      </c>
      <c r="I226" s="8" t="s">
        <v>22</v>
      </c>
      <c r="J226" s="9" t="s">
        <v>30</v>
      </c>
      <c r="K226" s="11" t="s">
        <v>23</v>
      </c>
      <c r="L226" s="8" t="s">
        <v>1154</v>
      </c>
      <c r="M226" s="8" t="s">
        <v>25</v>
      </c>
      <c r="N226" s="10" t="n">
        <v>8.5</v>
      </c>
    </row>
    <row r="227" customFormat="false" ht="68.65" hidden="false" customHeight="false" outlineLevel="0" collapsed="false">
      <c r="B227" s="4" t="s">
        <v>1155</v>
      </c>
      <c r="C227" s="4" t="s">
        <v>1145</v>
      </c>
      <c r="D227" s="4" t="s">
        <v>1156</v>
      </c>
      <c r="E227" s="4" t="s">
        <v>1157</v>
      </c>
      <c r="F227" s="4" t="s">
        <v>1158</v>
      </c>
      <c r="G227" s="4" t="s">
        <v>87</v>
      </c>
      <c r="H227" s="4" t="s">
        <v>43</v>
      </c>
      <c r="I227" s="4" t="s">
        <v>22</v>
      </c>
      <c r="J227" s="5" t="s">
        <v>30</v>
      </c>
      <c r="K227" s="6" t="s">
        <v>23</v>
      </c>
      <c r="L227" s="4" t="s">
        <v>1159</v>
      </c>
      <c r="M227" s="4" t="s">
        <v>45</v>
      </c>
      <c r="N227" s="7" t="n">
        <v>8</v>
      </c>
    </row>
    <row r="228" customFormat="false" ht="82.05" hidden="false" customHeight="false" outlineLevel="0" collapsed="false">
      <c r="B228" s="8" t="s">
        <v>1160</v>
      </c>
      <c r="C228" s="8" t="s">
        <v>1145</v>
      </c>
      <c r="D228" s="8" t="s">
        <v>1161</v>
      </c>
      <c r="E228" s="8" t="s">
        <v>1162</v>
      </c>
      <c r="F228" s="8" t="s">
        <v>1163</v>
      </c>
      <c r="G228" s="8" t="s">
        <v>42</v>
      </c>
      <c r="H228" s="8" t="s">
        <v>43</v>
      </c>
      <c r="I228" s="8" t="s">
        <v>22</v>
      </c>
      <c r="J228" s="9" t="s">
        <v>30</v>
      </c>
      <c r="K228" s="11" t="s">
        <v>23</v>
      </c>
      <c r="L228" s="8" t="s">
        <v>1164</v>
      </c>
      <c r="M228" s="8" t="s">
        <v>45</v>
      </c>
      <c r="N228" s="10" t="n">
        <v>7.5</v>
      </c>
    </row>
    <row r="229" customFormat="false" ht="82.05" hidden="false" customHeight="false" outlineLevel="0" collapsed="false">
      <c r="B229" s="4" t="s">
        <v>1165</v>
      </c>
      <c r="C229" s="4" t="s">
        <v>1145</v>
      </c>
      <c r="D229" s="4" t="s">
        <v>1166</v>
      </c>
      <c r="E229" s="4" t="s">
        <v>1167</v>
      </c>
      <c r="F229" s="4" t="s">
        <v>1168</v>
      </c>
      <c r="G229" s="4" t="s">
        <v>42</v>
      </c>
      <c r="H229" s="4" t="s">
        <v>43</v>
      </c>
      <c r="I229" s="4" t="s">
        <v>22</v>
      </c>
      <c r="J229" s="5" t="s">
        <v>30</v>
      </c>
      <c r="K229" s="6" t="s">
        <v>23</v>
      </c>
      <c r="L229" s="4" t="s">
        <v>1169</v>
      </c>
      <c r="M229" s="4" t="s">
        <v>25</v>
      </c>
      <c r="N229" s="7" t="n">
        <v>8</v>
      </c>
    </row>
    <row r="230" customFormat="false" ht="95.5" hidden="false" customHeight="false" outlineLevel="0" collapsed="false">
      <c r="B230" s="8" t="s">
        <v>1170</v>
      </c>
      <c r="C230" s="8" t="s">
        <v>1145</v>
      </c>
      <c r="D230" s="8" t="s">
        <v>1171</v>
      </c>
      <c r="E230" s="8" t="s">
        <v>1172</v>
      </c>
      <c r="F230" s="8" t="s">
        <v>1173</v>
      </c>
      <c r="G230" s="8" t="s">
        <v>87</v>
      </c>
      <c r="H230" s="8" t="s">
        <v>43</v>
      </c>
      <c r="I230" s="8" t="s">
        <v>22</v>
      </c>
      <c r="J230" s="8" t="s">
        <v>22</v>
      </c>
      <c r="K230" s="11" t="s">
        <v>23</v>
      </c>
      <c r="L230" s="8" t="s">
        <v>1174</v>
      </c>
      <c r="M230" s="8" t="s">
        <v>45</v>
      </c>
      <c r="N230" s="10" t="n">
        <v>7.5</v>
      </c>
    </row>
    <row r="231" customFormat="false" ht="82.05" hidden="false" customHeight="false" outlineLevel="0" collapsed="false">
      <c r="B231" s="4" t="s">
        <v>1175</v>
      </c>
      <c r="C231" s="4" t="s">
        <v>1145</v>
      </c>
      <c r="D231" s="4" t="s">
        <v>1176</v>
      </c>
      <c r="E231" s="4" t="s">
        <v>1177</v>
      </c>
      <c r="F231" s="4" t="s">
        <v>1178</v>
      </c>
      <c r="G231" s="4" t="s">
        <v>50</v>
      </c>
      <c r="H231" s="4" t="s">
        <v>43</v>
      </c>
      <c r="I231" s="5" t="s">
        <v>21</v>
      </c>
      <c r="J231" s="4" t="s">
        <v>22</v>
      </c>
      <c r="K231" s="5" t="s">
        <v>31</v>
      </c>
      <c r="L231" s="4" t="s">
        <v>1179</v>
      </c>
      <c r="M231" s="4" t="s">
        <v>25</v>
      </c>
      <c r="N231" s="7" t="n">
        <v>8.5</v>
      </c>
    </row>
    <row r="232" customFormat="false" ht="68.65" hidden="false" customHeight="false" outlineLevel="0" collapsed="false">
      <c r="B232" s="8" t="s">
        <v>1180</v>
      </c>
      <c r="C232" s="8" t="s">
        <v>1145</v>
      </c>
      <c r="D232" s="8" t="s">
        <v>1181</v>
      </c>
      <c r="E232" s="8" t="s">
        <v>1182</v>
      </c>
      <c r="F232" s="8" t="s">
        <v>1183</v>
      </c>
      <c r="G232" s="8" t="s">
        <v>150</v>
      </c>
      <c r="H232" s="8" t="s">
        <v>43</v>
      </c>
      <c r="I232" s="8" t="s">
        <v>22</v>
      </c>
      <c r="J232" s="8" t="s">
        <v>22</v>
      </c>
      <c r="K232" s="11" t="s">
        <v>23</v>
      </c>
      <c r="L232" s="8" t="s">
        <v>1184</v>
      </c>
      <c r="M232" s="8" t="s">
        <v>45</v>
      </c>
      <c r="N232" s="10" t="n">
        <v>7</v>
      </c>
    </row>
    <row r="233" customFormat="false" ht="68.65" hidden="false" customHeight="false" outlineLevel="0" collapsed="false">
      <c r="B233" s="4" t="s">
        <v>1185</v>
      </c>
      <c r="C233" s="4" t="s">
        <v>1145</v>
      </c>
      <c r="D233" s="4" t="s">
        <v>1186</v>
      </c>
      <c r="E233" s="4" t="s">
        <v>1187</v>
      </c>
      <c r="F233" s="4" t="s">
        <v>1188</v>
      </c>
      <c r="G233" s="4" t="s">
        <v>19</v>
      </c>
      <c r="H233" s="4" t="s">
        <v>43</v>
      </c>
      <c r="I233" s="5" t="s">
        <v>21</v>
      </c>
      <c r="J233" s="5" t="s">
        <v>30</v>
      </c>
      <c r="K233" s="6" t="s">
        <v>23</v>
      </c>
      <c r="L233" s="4" t="s">
        <v>1189</v>
      </c>
      <c r="M233" s="4" t="s">
        <v>45</v>
      </c>
      <c r="N233" s="7" t="n">
        <v>8</v>
      </c>
    </row>
    <row r="234" customFormat="false" ht="82.05" hidden="false" customHeight="false" outlineLevel="0" collapsed="false">
      <c r="B234" s="8" t="s">
        <v>1190</v>
      </c>
      <c r="C234" s="8" t="s">
        <v>1145</v>
      </c>
      <c r="D234" s="8" t="s">
        <v>1191</v>
      </c>
      <c r="E234" s="8" t="s">
        <v>1192</v>
      </c>
      <c r="F234" s="8" t="s">
        <v>1193</v>
      </c>
      <c r="G234" s="8" t="s">
        <v>150</v>
      </c>
      <c r="H234" s="8" t="s">
        <v>43</v>
      </c>
      <c r="I234" s="9" t="s">
        <v>21</v>
      </c>
      <c r="J234" s="8" t="s">
        <v>22</v>
      </c>
      <c r="K234" s="11" t="s">
        <v>23</v>
      </c>
      <c r="L234" s="8" t="s">
        <v>1194</v>
      </c>
      <c r="M234" s="8" t="s">
        <v>25</v>
      </c>
      <c r="N234" s="10" t="n">
        <v>8.5</v>
      </c>
    </row>
    <row r="235" customFormat="false" ht="95.5" hidden="false" customHeight="false" outlineLevel="0" collapsed="false">
      <c r="B235" s="4" t="s">
        <v>1195</v>
      </c>
      <c r="C235" s="4" t="s">
        <v>1145</v>
      </c>
      <c r="D235" s="4" t="s">
        <v>1196</v>
      </c>
      <c r="E235" s="4" t="s">
        <v>1197</v>
      </c>
      <c r="F235" s="4" t="s">
        <v>1198</v>
      </c>
      <c r="G235" s="4" t="s">
        <v>42</v>
      </c>
      <c r="H235" s="4" t="s">
        <v>43</v>
      </c>
      <c r="I235" s="5" t="s">
        <v>21</v>
      </c>
      <c r="J235" s="5" t="s">
        <v>30</v>
      </c>
      <c r="K235" s="6" t="s">
        <v>23</v>
      </c>
      <c r="L235" s="4" t="s">
        <v>1199</v>
      </c>
      <c r="M235" s="4" t="s">
        <v>25</v>
      </c>
      <c r="N235" s="7" t="n">
        <v>8</v>
      </c>
    </row>
    <row r="236" customFormat="false" ht="68.65" hidden="false" customHeight="false" outlineLevel="0" collapsed="false">
      <c r="B236" s="8" t="s">
        <v>1200</v>
      </c>
      <c r="C236" s="8" t="s">
        <v>1145</v>
      </c>
      <c r="D236" s="8" t="s">
        <v>1201</v>
      </c>
      <c r="E236" s="8" t="s">
        <v>1202</v>
      </c>
      <c r="F236" s="8" t="s">
        <v>1203</v>
      </c>
      <c r="G236" s="8" t="s">
        <v>150</v>
      </c>
      <c r="H236" s="8" t="s">
        <v>43</v>
      </c>
      <c r="I236" s="8" t="s">
        <v>22</v>
      </c>
      <c r="J236" s="8" t="s">
        <v>22</v>
      </c>
      <c r="K236" s="11" t="s">
        <v>23</v>
      </c>
      <c r="L236" s="8" t="s">
        <v>1204</v>
      </c>
      <c r="M236" s="8" t="s">
        <v>45</v>
      </c>
      <c r="N236" s="10" t="n">
        <v>7.5</v>
      </c>
    </row>
    <row r="237" customFormat="false" ht="82.05" hidden="false" customHeight="false" outlineLevel="0" collapsed="false">
      <c r="B237" s="4" t="s">
        <v>1205</v>
      </c>
      <c r="C237" s="4" t="s">
        <v>1145</v>
      </c>
      <c r="D237" s="4" t="s">
        <v>1206</v>
      </c>
      <c r="E237" s="4" t="s">
        <v>1207</v>
      </c>
      <c r="F237" s="4" t="s">
        <v>1208</v>
      </c>
      <c r="G237" s="4" t="s">
        <v>87</v>
      </c>
      <c r="H237" s="4" t="s">
        <v>43</v>
      </c>
      <c r="I237" s="4" t="s">
        <v>22</v>
      </c>
      <c r="J237" s="5" t="s">
        <v>30</v>
      </c>
      <c r="K237" s="6" t="s">
        <v>23</v>
      </c>
      <c r="L237" s="4" t="s">
        <v>1209</v>
      </c>
      <c r="M237" s="4" t="s">
        <v>25</v>
      </c>
      <c r="N237" s="7" t="n">
        <v>7.5</v>
      </c>
    </row>
    <row r="238" customFormat="false" ht="108.95" hidden="false" customHeight="false" outlineLevel="0" collapsed="false">
      <c r="B238" s="8" t="s">
        <v>1210</v>
      </c>
      <c r="C238" s="8" t="s">
        <v>1145</v>
      </c>
      <c r="D238" s="8" t="s">
        <v>1211</v>
      </c>
      <c r="E238" s="8" t="s">
        <v>1212</v>
      </c>
      <c r="F238" s="8" t="s">
        <v>1213</v>
      </c>
      <c r="G238" s="8" t="s">
        <v>87</v>
      </c>
      <c r="H238" s="8" t="s">
        <v>20</v>
      </c>
      <c r="I238" s="9" t="s">
        <v>21</v>
      </c>
      <c r="J238" s="9" t="s">
        <v>30</v>
      </c>
      <c r="K238" s="11" t="s">
        <v>23</v>
      </c>
      <c r="L238" s="8" t="s">
        <v>1214</v>
      </c>
      <c r="M238" s="8" t="s">
        <v>25</v>
      </c>
      <c r="N238" s="10" t="n">
        <v>8.5</v>
      </c>
    </row>
    <row r="239" customFormat="false" ht="68.65" hidden="false" customHeight="false" outlineLevel="0" collapsed="false">
      <c r="B239" s="4" t="s">
        <v>1215</v>
      </c>
      <c r="C239" s="4" t="s">
        <v>1145</v>
      </c>
      <c r="D239" s="4" t="s">
        <v>1216</v>
      </c>
      <c r="E239" s="4" t="s">
        <v>1217</v>
      </c>
      <c r="F239" s="4" t="s">
        <v>1218</v>
      </c>
      <c r="G239" s="4" t="s">
        <v>87</v>
      </c>
      <c r="H239" s="4" t="s">
        <v>20</v>
      </c>
      <c r="I239" s="5" t="s">
        <v>21</v>
      </c>
      <c r="J239" s="4" t="s">
        <v>22</v>
      </c>
      <c r="K239" s="6" t="s">
        <v>23</v>
      </c>
      <c r="L239" s="4" t="s">
        <v>1219</v>
      </c>
      <c r="M239" s="4" t="s">
        <v>1093</v>
      </c>
      <c r="N239" s="7" t="n">
        <v>8.5</v>
      </c>
    </row>
    <row r="240" customFormat="false" ht="68.65" hidden="false" customHeight="false" outlineLevel="0" collapsed="false">
      <c r="B240" s="8" t="s">
        <v>1220</v>
      </c>
      <c r="C240" s="8" t="s">
        <v>1145</v>
      </c>
      <c r="D240" s="8" t="s">
        <v>1221</v>
      </c>
      <c r="E240" s="8" t="s">
        <v>1222</v>
      </c>
      <c r="F240" s="8" t="s">
        <v>1223</v>
      </c>
      <c r="G240" s="8" t="s">
        <v>87</v>
      </c>
      <c r="H240" s="8" t="s">
        <v>20</v>
      </c>
      <c r="I240" s="8" t="s">
        <v>22</v>
      </c>
      <c r="J240" s="9" t="s">
        <v>30</v>
      </c>
      <c r="K240" s="11" t="s">
        <v>23</v>
      </c>
      <c r="L240" s="8" t="s">
        <v>1224</v>
      </c>
      <c r="M240" s="8" t="s">
        <v>25</v>
      </c>
      <c r="N240" s="10" t="n">
        <v>8</v>
      </c>
    </row>
    <row r="241" customFormat="false" ht="82.05" hidden="false" customHeight="false" outlineLevel="0" collapsed="false">
      <c r="B241" s="4" t="s">
        <v>1225</v>
      </c>
      <c r="C241" s="4" t="s">
        <v>1145</v>
      </c>
      <c r="D241" s="4" t="s">
        <v>1226</v>
      </c>
      <c r="E241" s="4" t="s">
        <v>1227</v>
      </c>
      <c r="F241" s="4" t="s">
        <v>1228</v>
      </c>
      <c r="G241" s="4" t="s">
        <v>87</v>
      </c>
      <c r="H241" s="4" t="s">
        <v>20</v>
      </c>
      <c r="I241" s="4" t="s">
        <v>22</v>
      </c>
      <c r="J241" s="5" t="s">
        <v>30</v>
      </c>
      <c r="K241" s="5" t="s">
        <v>31</v>
      </c>
      <c r="L241" s="4" t="s">
        <v>1229</v>
      </c>
      <c r="M241" s="4" t="s">
        <v>25</v>
      </c>
      <c r="N241" s="7" t="n">
        <v>8</v>
      </c>
    </row>
    <row r="242" customFormat="false" ht="95.5" hidden="false" customHeight="false" outlineLevel="0" collapsed="false">
      <c r="B242" s="8" t="s">
        <v>1230</v>
      </c>
      <c r="C242" s="8" t="s">
        <v>1145</v>
      </c>
      <c r="D242" s="8" t="s">
        <v>1231</v>
      </c>
      <c r="E242" s="8" t="s">
        <v>1232</v>
      </c>
      <c r="F242" s="8" t="s">
        <v>1233</v>
      </c>
      <c r="G242" s="8" t="s">
        <v>87</v>
      </c>
      <c r="H242" s="8" t="s">
        <v>20</v>
      </c>
      <c r="I242" s="9" t="s">
        <v>21</v>
      </c>
      <c r="J242" s="8" t="s">
        <v>22</v>
      </c>
      <c r="K242" s="9" t="s">
        <v>31</v>
      </c>
      <c r="L242" s="8" t="s">
        <v>1234</v>
      </c>
      <c r="M242" s="8" t="s">
        <v>25</v>
      </c>
      <c r="N242" s="10" t="n">
        <v>8</v>
      </c>
    </row>
    <row r="243" customFormat="false" ht="95.5" hidden="false" customHeight="false" outlineLevel="0" collapsed="false">
      <c r="B243" s="4" t="s">
        <v>1235</v>
      </c>
      <c r="C243" s="4" t="s">
        <v>1145</v>
      </c>
      <c r="D243" s="4" t="s">
        <v>1236</v>
      </c>
      <c r="E243" s="4" t="s">
        <v>1237</v>
      </c>
      <c r="F243" s="4" t="s">
        <v>1238</v>
      </c>
      <c r="G243" s="4" t="s">
        <v>42</v>
      </c>
      <c r="H243" s="4" t="s">
        <v>43</v>
      </c>
      <c r="I243" s="5" t="s">
        <v>21</v>
      </c>
      <c r="J243" s="4" t="s">
        <v>22</v>
      </c>
      <c r="K243" s="5" t="s">
        <v>31</v>
      </c>
      <c r="L243" s="4" t="s">
        <v>1239</v>
      </c>
      <c r="M243" s="4" t="s">
        <v>45</v>
      </c>
      <c r="N243" s="7" t="n">
        <v>7.5</v>
      </c>
    </row>
    <row r="244" customFormat="false" ht="82.05" hidden="false" customHeight="false" outlineLevel="0" collapsed="false">
      <c r="B244" s="8" t="s">
        <v>1240</v>
      </c>
      <c r="C244" s="8" t="s">
        <v>1145</v>
      </c>
      <c r="D244" s="8" t="s">
        <v>1241</v>
      </c>
      <c r="E244" s="8" t="s">
        <v>1242</v>
      </c>
      <c r="F244" s="8" t="s">
        <v>1243</v>
      </c>
      <c r="G244" s="8" t="s">
        <v>76</v>
      </c>
      <c r="H244" s="8" t="s">
        <v>43</v>
      </c>
      <c r="I244" s="9" t="s">
        <v>21</v>
      </c>
      <c r="J244" s="8" t="s">
        <v>22</v>
      </c>
      <c r="K244" s="11" t="s">
        <v>23</v>
      </c>
      <c r="L244" s="8" t="s">
        <v>1244</v>
      </c>
      <c r="M244" s="8" t="s">
        <v>25</v>
      </c>
      <c r="N244" s="10" t="n">
        <v>8</v>
      </c>
    </row>
    <row r="245" customFormat="false" ht="95.5" hidden="false" customHeight="false" outlineLevel="0" collapsed="false">
      <c r="B245" s="4" t="s">
        <v>1245</v>
      </c>
      <c r="C245" s="4" t="s">
        <v>1246</v>
      </c>
      <c r="D245" s="4" t="s">
        <v>1247</v>
      </c>
      <c r="E245" s="4" t="s">
        <v>1248</v>
      </c>
      <c r="F245" s="4" t="s">
        <v>1249</v>
      </c>
      <c r="G245" s="4" t="s">
        <v>42</v>
      </c>
      <c r="H245" s="4" t="s">
        <v>20</v>
      </c>
      <c r="I245" s="5" t="s">
        <v>21</v>
      </c>
      <c r="J245" s="4" t="s">
        <v>22</v>
      </c>
      <c r="K245" s="6" t="s">
        <v>23</v>
      </c>
      <c r="L245" s="4" t="s">
        <v>1250</v>
      </c>
      <c r="M245" s="4" t="s">
        <v>45</v>
      </c>
      <c r="N245" s="7" t="n">
        <v>8</v>
      </c>
    </row>
    <row r="246" customFormat="false" ht="95.5" hidden="false" customHeight="false" outlineLevel="0" collapsed="false">
      <c r="B246" s="8" t="s">
        <v>1251</v>
      </c>
      <c r="C246" s="8" t="s">
        <v>1246</v>
      </c>
      <c r="D246" s="8" t="s">
        <v>1252</v>
      </c>
      <c r="E246" s="8" t="s">
        <v>1253</v>
      </c>
      <c r="F246" s="8" t="s">
        <v>1254</v>
      </c>
      <c r="G246" s="8" t="s">
        <v>42</v>
      </c>
      <c r="H246" s="8" t="s">
        <v>43</v>
      </c>
      <c r="I246" s="9" t="s">
        <v>21</v>
      </c>
      <c r="J246" s="8" t="s">
        <v>22</v>
      </c>
      <c r="K246" s="11" t="s">
        <v>23</v>
      </c>
      <c r="L246" s="8" t="s">
        <v>1255</v>
      </c>
      <c r="M246" s="8" t="s">
        <v>45</v>
      </c>
      <c r="N246" s="10" t="n">
        <v>8</v>
      </c>
    </row>
    <row r="247" customFormat="false" ht="95.5" hidden="false" customHeight="false" outlineLevel="0" collapsed="false">
      <c r="B247" s="4" t="s">
        <v>1256</v>
      </c>
      <c r="C247" s="4" t="s">
        <v>1246</v>
      </c>
      <c r="D247" s="4" t="s">
        <v>1257</v>
      </c>
      <c r="E247" s="4" t="s">
        <v>1258</v>
      </c>
      <c r="F247" s="4" t="s">
        <v>1259</v>
      </c>
      <c r="G247" s="4" t="s">
        <v>87</v>
      </c>
      <c r="H247" s="4" t="s">
        <v>43</v>
      </c>
      <c r="I247" s="5" t="s">
        <v>21</v>
      </c>
      <c r="J247" s="4" t="s">
        <v>22</v>
      </c>
      <c r="K247" s="6" t="s">
        <v>23</v>
      </c>
      <c r="L247" s="4" t="s">
        <v>1260</v>
      </c>
      <c r="M247" s="4" t="s">
        <v>45</v>
      </c>
      <c r="N247" s="7" t="n">
        <v>7.5</v>
      </c>
    </row>
    <row r="248" customFormat="false" ht="68.65" hidden="false" customHeight="false" outlineLevel="0" collapsed="false">
      <c r="B248" s="8" t="s">
        <v>1261</v>
      </c>
      <c r="C248" s="8" t="s">
        <v>1246</v>
      </c>
      <c r="D248" s="8" t="s">
        <v>1262</v>
      </c>
      <c r="E248" s="8" t="s">
        <v>1263</v>
      </c>
      <c r="F248" s="8" t="s">
        <v>1264</v>
      </c>
      <c r="G248" s="8" t="s">
        <v>150</v>
      </c>
      <c r="H248" s="8" t="s">
        <v>43</v>
      </c>
      <c r="I248" s="9" t="s">
        <v>21</v>
      </c>
      <c r="J248" s="12" t="s">
        <v>88</v>
      </c>
      <c r="K248" s="11" t="s">
        <v>23</v>
      </c>
      <c r="L248" s="8" t="s">
        <v>1265</v>
      </c>
      <c r="M248" s="8" t="s">
        <v>45</v>
      </c>
      <c r="N248" s="10" t="n">
        <v>7</v>
      </c>
    </row>
    <row r="249" customFormat="false" ht="82.05" hidden="false" customHeight="false" outlineLevel="0" collapsed="false">
      <c r="B249" s="4" t="s">
        <v>1266</v>
      </c>
      <c r="C249" s="4" t="s">
        <v>1246</v>
      </c>
      <c r="D249" s="4" t="s">
        <v>1267</v>
      </c>
      <c r="E249" s="4" t="s">
        <v>1268</v>
      </c>
      <c r="F249" s="4" t="s">
        <v>1269</v>
      </c>
      <c r="G249" s="4" t="s">
        <v>150</v>
      </c>
      <c r="H249" s="4" t="s">
        <v>20</v>
      </c>
      <c r="I249" s="4" t="s">
        <v>22</v>
      </c>
      <c r="J249" s="5" t="s">
        <v>30</v>
      </c>
      <c r="K249" s="5" t="s">
        <v>31</v>
      </c>
      <c r="L249" s="4" t="s">
        <v>1270</v>
      </c>
      <c r="M249" s="4" t="s">
        <v>45</v>
      </c>
      <c r="N249" s="7" t="n">
        <v>7.5</v>
      </c>
    </row>
    <row r="250" customFormat="false" ht="82.05" hidden="false" customHeight="false" outlineLevel="0" collapsed="false">
      <c r="B250" s="8" t="s">
        <v>1271</v>
      </c>
      <c r="C250" s="8" t="s">
        <v>1246</v>
      </c>
      <c r="D250" s="8" t="s">
        <v>1272</v>
      </c>
      <c r="E250" s="8" t="s">
        <v>1273</v>
      </c>
      <c r="F250" s="8" t="s">
        <v>1274</v>
      </c>
      <c r="G250" s="8" t="s">
        <v>42</v>
      </c>
      <c r="H250" s="8" t="s">
        <v>43</v>
      </c>
      <c r="I250" s="8" t="s">
        <v>22</v>
      </c>
      <c r="J250" s="9" t="s">
        <v>30</v>
      </c>
      <c r="K250" s="11" t="s">
        <v>23</v>
      </c>
      <c r="L250" s="8" t="s">
        <v>1275</v>
      </c>
      <c r="M250" s="8" t="s">
        <v>45</v>
      </c>
      <c r="N250" s="10" t="n">
        <v>7.5</v>
      </c>
    </row>
    <row r="251" customFormat="false" ht="95.5" hidden="false" customHeight="false" outlineLevel="0" collapsed="false">
      <c r="B251" s="4" t="s">
        <v>1276</v>
      </c>
      <c r="C251" s="4" t="s">
        <v>1246</v>
      </c>
      <c r="D251" s="4" t="s">
        <v>1277</v>
      </c>
      <c r="E251" s="4" t="s">
        <v>1278</v>
      </c>
      <c r="F251" s="4" t="s">
        <v>1279</v>
      </c>
      <c r="G251" s="4" t="s">
        <v>150</v>
      </c>
      <c r="H251" s="4" t="s">
        <v>43</v>
      </c>
      <c r="I251" s="5" t="s">
        <v>21</v>
      </c>
      <c r="J251" s="4" t="s">
        <v>22</v>
      </c>
      <c r="K251" s="6" t="s">
        <v>23</v>
      </c>
      <c r="L251" s="4" t="s">
        <v>1280</v>
      </c>
      <c r="M251" s="4" t="s">
        <v>45</v>
      </c>
      <c r="N251" s="7" t="n">
        <v>7.5</v>
      </c>
    </row>
    <row r="252" customFormat="false" ht="95.5" hidden="false" customHeight="false" outlineLevel="0" collapsed="false">
      <c r="B252" s="8" t="s">
        <v>1281</v>
      </c>
      <c r="C252" s="8" t="s">
        <v>1246</v>
      </c>
      <c r="D252" s="8" t="s">
        <v>1282</v>
      </c>
      <c r="E252" s="8" t="s">
        <v>1283</v>
      </c>
      <c r="F252" s="8" t="s">
        <v>1284</v>
      </c>
      <c r="G252" s="8" t="s">
        <v>50</v>
      </c>
      <c r="H252" s="8" t="s">
        <v>20</v>
      </c>
      <c r="I252" s="9" t="s">
        <v>21</v>
      </c>
      <c r="J252" s="8" t="s">
        <v>22</v>
      </c>
      <c r="K252" s="11" t="s">
        <v>23</v>
      </c>
      <c r="L252" s="8" t="s">
        <v>1285</v>
      </c>
      <c r="M252" s="8" t="s">
        <v>25</v>
      </c>
      <c r="N252" s="10" t="n">
        <v>8</v>
      </c>
    </row>
    <row r="253" customFormat="false" ht="95.5" hidden="false" customHeight="false" outlineLevel="0" collapsed="false">
      <c r="B253" s="4" t="s">
        <v>1286</v>
      </c>
      <c r="C253" s="4" t="s">
        <v>1246</v>
      </c>
      <c r="D253" s="4" t="s">
        <v>1287</v>
      </c>
      <c r="E253" s="4" t="s">
        <v>1288</v>
      </c>
      <c r="F253" s="4" t="s">
        <v>1289</v>
      </c>
      <c r="G253" s="4" t="s">
        <v>76</v>
      </c>
      <c r="H253" s="4" t="s">
        <v>43</v>
      </c>
      <c r="I253" s="5" t="s">
        <v>21</v>
      </c>
      <c r="J253" s="4" t="s">
        <v>22</v>
      </c>
      <c r="K253" s="5" t="s">
        <v>31</v>
      </c>
      <c r="L253" s="4" t="s">
        <v>1290</v>
      </c>
      <c r="M253" s="4" t="s">
        <v>45</v>
      </c>
      <c r="N253" s="7" t="n">
        <v>7.5</v>
      </c>
    </row>
    <row r="254" customFormat="false" ht="82.05" hidden="false" customHeight="false" outlineLevel="0" collapsed="false">
      <c r="B254" s="8" t="s">
        <v>1291</v>
      </c>
      <c r="C254" s="8" t="s">
        <v>1246</v>
      </c>
      <c r="D254" s="8" t="s">
        <v>1292</v>
      </c>
      <c r="E254" s="8" t="s">
        <v>1293</v>
      </c>
      <c r="F254" s="8" t="s">
        <v>1294</v>
      </c>
      <c r="G254" s="8" t="s">
        <v>42</v>
      </c>
      <c r="H254" s="8" t="s">
        <v>43</v>
      </c>
      <c r="I254" s="9" t="s">
        <v>21</v>
      </c>
      <c r="J254" s="9" t="s">
        <v>30</v>
      </c>
      <c r="K254" s="11" t="s">
        <v>23</v>
      </c>
      <c r="L254" s="8" t="s">
        <v>1295</v>
      </c>
      <c r="M254" s="8" t="s">
        <v>45</v>
      </c>
      <c r="N254" s="10" t="n">
        <v>8.5</v>
      </c>
    </row>
    <row r="255" customFormat="false" ht="68.65" hidden="false" customHeight="false" outlineLevel="0" collapsed="false">
      <c r="B255" s="4" t="s">
        <v>1296</v>
      </c>
      <c r="C255" s="4" t="s">
        <v>1246</v>
      </c>
      <c r="D255" s="4" t="s">
        <v>1297</v>
      </c>
      <c r="E255" s="4" t="s">
        <v>1298</v>
      </c>
      <c r="F255" s="4" t="s">
        <v>1299</v>
      </c>
      <c r="G255" s="4" t="s">
        <v>87</v>
      </c>
      <c r="H255" s="4" t="s">
        <v>20</v>
      </c>
      <c r="I255" s="4" t="s">
        <v>22</v>
      </c>
      <c r="J255" s="4" t="s">
        <v>22</v>
      </c>
      <c r="K255" s="6" t="s">
        <v>23</v>
      </c>
      <c r="L255" s="4" t="s">
        <v>1300</v>
      </c>
      <c r="M255" s="4" t="s">
        <v>45</v>
      </c>
      <c r="N255" s="7" t="n">
        <v>7.5</v>
      </c>
    </row>
    <row r="256" customFormat="false" ht="82.05" hidden="false" customHeight="false" outlineLevel="0" collapsed="false">
      <c r="B256" s="8" t="s">
        <v>1301</v>
      </c>
      <c r="C256" s="8" t="s">
        <v>1246</v>
      </c>
      <c r="D256" s="8" t="s">
        <v>1302</v>
      </c>
      <c r="E256" s="8" t="s">
        <v>1303</v>
      </c>
      <c r="F256" s="8" t="s">
        <v>1304</v>
      </c>
      <c r="G256" s="8" t="s">
        <v>87</v>
      </c>
      <c r="H256" s="8" t="s">
        <v>20</v>
      </c>
      <c r="I256" s="8" t="s">
        <v>22</v>
      </c>
      <c r="J256" s="9" t="s">
        <v>30</v>
      </c>
      <c r="K256" s="11" t="s">
        <v>23</v>
      </c>
      <c r="L256" s="8" t="s">
        <v>1305</v>
      </c>
      <c r="M256" s="8" t="s">
        <v>45</v>
      </c>
      <c r="N256" s="10" t="n">
        <v>7</v>
      </c>
    </row>
    <row r="257" customFormat="false" ht="108.95" hidden="false" customHeight="false" outlineLevel="0" collapsed="false">
      <c r="B257" s="4" t="s">
        <v>1306</v>
      </c>
      <c r="C257" s="4" t="s">
        <v>1246</v>
      </c>
      <c r="D257" s="4" t="s">
        <v>1307</v>
      </c>
      <c r="E257" s="4" t="s">
        <v>1308</v>
      </c>
      <c r="F257" s="4" t="s">
        <v>1309</v>
      </c>
      <c r="G257" s="4" t="s">
        <v>42</v>
      </c>
      <c r="H257" s="4" t="s">
        <v>43</v>
      </c>
      <c r="I257" s="4" t="s">
        <v>22</v>
      </c>
      <c r="J257" s="4" t="s">
        <v>22</v>
      </c>
      <c r="K257" s="5" t="s">
        <v>31</v>
      </c>
      <c r="L257" s="4" t="s">
        <v>1310</v>
      </c>
      <c r="M257" s="4" t="s">
        <v>45</v>
      </c>
      <c r="N257" s="7" t="n">
        <v>7.5</v>
      </c>
    </row>
    <row r="258" customFormat="false" ht="82.05" hidden="false" customHeight="false" outlineLevel="0" collapsed="false">
      <c r="B258" s="8" t="s">
        <v>1311</v>
      </c>
      <c r="C258" s="8" t="s">
        <v>1246</v>
      </c>
      <c r="D258" s="8" t="s">
        <v>1312</v>
      </c>
      <c r="E258" s="8" t="s">
        <v>1313</v>
      </c>
      <c r="F258" s="8" t="s">
        <v>1314</v>
      </c>
      <c r="G258" s="8" t="s">
        <v>87</v>
      </c>
      <c r="H258" s="8" t="s">
        <v>20</v>
      </c>
      <c r="I258" s="8" t="s">
        <v>22</v>
      </c>
      <c r="J258" s="8" t="s">
        <v>22</v>
      </c>
      <c r="K258" s="11" t="s">
        <v>23</v>
      </c>
      <c r="L258" s="8" t="s">
        <v>1315</v>
      </c>
      <c r="M258" s="8" t="s">
        <v>45</v>
      </c>
      <c r="N258" s="10" t="n">
        <v>7.5</v>
      </c>
    </row>
    <row r="259" customFormat="false" ht="68.65" hidden="false" customHeight="false" outlineLevel="0" collapsed="false">
      <c r="B259" s="4" t="s">
        <v>1316</v>
      </c>
      <c r="C259" s="4" t="s">
        <v>1246</v>
      </c>
      <c r="D259" s="4" t="s">
        <v>1317</v>
      </c>
      <c r="E259" s="4" t="s">
        <v>1318</v>
      </c>
      <c r="F259" s="4" t="s">
        <v>1319</v>
      </c>
      <c r="G259" s="4" t="s">
        <v>87</v>
      </c>
      <c r="H259" s="4" t="s">
        <v>20</v>
      </c>
      <c r="I259" s="4" t="s">
        <v>22</v>
      </c>
      <c r="J259" s="4" t="s">
        <v>22</v>
      </c>
      <c r="K259" s="5" t="s">
        <v>31</v>
      </c>
      <c r="L259" s="4" t="s">
        <v>1320</v>
      </c>
      <c r="M259" s="4" t="s">
        <v>25</v>
      </c>
      <c r="N259" s="7" t="n">
        <v>7</v>
      </c>
    </row>
    <row r="260" customFormat="false" ht="82.05" hidden="false" customHeight="false" outlineLevel="0" collapsed="false">
      <c r="B260" s="8" t="s">
        <v>1321</v>
      </c>
      <c r="C260" s="8" t="s">
        <v>1246</v>
      </c>
      <c r="D260" s="8" t="s">
        <v>1322</v>
      </c>
      <c r="E260" s="8" t="s">
        <v>1323</v>
      </c>
      <c r="F260" s="8" t="s">
        <v>1324</v>
      </c>
      <c r="G260" s="8" t="s">
        <v>87</v>
      </c>
      <c r="H260" s="8" t="s">
        <v>43</v>
      </c>
      <c r="I260" s="8" t="s">
        <v>22</v>
      </c>
      <c r="J260" s="9" t="s">
        <v>30</v>
      </c>
      <c r="K260" s="11" t="s">
        <v>23</v>
      </c>
      <c r="L260" s="8" t="s">
        <v>1325</v>
      </c>
      <c r="M260" s="8" t="s">
        <v>45</v>
      </c>
      <c r="N260" s="10" t="n">
        <v>7.5</v>
      </c>
    </row>
    <row r="261" customFormat="false" ht="82.05" hidden="false" customHeight="false" outlineLevel="0" collapsed="false">
      <c r="B261" s="4" t="s">
        <v>1326</v>
      </c>
      <c r="C261" s="4" t="s">
        <v>1246</v>
      </c>
      <c r="D261" s="4" t="s">
        <v>1327</v>
      </c>
      <c r="E261" s="4" t="s">
        <v>1328</v>
      </c>
      <c r="F261" s="4" t="s">
        <v>1329</v>
      </c>
      <c r="G261" s="4" t="s">
        <v>150</v>
      </c>
      <c r="H261" s="4" t="s">
        <v>43</v>
      </c>
      <c r="I261" s="4" t="s">
        <v>22</v>
      </c>
      <c r="J261" s="4" t="s">
        <v>22</v>
      </c>
      <c r="K261" s="6" t="s">
        <v>23</v>
      </c>
      <c r="L261" s="4" t="s">
        <v>1330</v>
      </c>
      <c r="M261" s="4" t="s">
        <v>45</v>
      </c>
      <c r="N261" s="7" t="n">
        <v>7</v>
      </c>
    </row>
    <row r="262" customFormat="false" ht="68.65" hidden="false" customHeight="false" outlineLevel="0" collapsed="false">
      <c r="B262" s="8" t="s">
        <v>1331</v>
      </c>
      <c r="C262" s="8" t="s">
        <v>1246</v>
      </c>
      <c r="D262" s="8" t="s">
        <v>1332</v>
      </c>
      <c r="E262" s="8" t="s">
        <v>1333</v>
      </c>
      <c r="F262" s="8" t="s">
        <v>1334</v>
      </c>
      <c r="G262" s="8" t="s">
        <v>150</v>
      </c>
      <c r="H262" s="8" t="s">
        <v>20</v>
      </c>
      <c r="I262" s="9" t="s">
        <v>21</v>
      </c>
      <c r="J262" s="8" t="s">
        <v>22</v>
      </c>
      <c r="K262" s="11" t="s">
        <v>23</v>
      </c>
      <c r="L262" s="8" t="s">
        <v>1335</v>
      </c>
      <c r="M262" s="8" t="s">
        <v>25</v>
      </c>
      <c r="N262" s="10" t="n">
        <v>7.5</v>
      </c>
    </row>
    <row r="263" customFormat="false" ht="95.5" hidden="false" customHeight="false" outlineLevel="0" collapsed="false">
      <c r="B263" s="4" t="s">
        <v>1336</v>
      </c>
      <c r="C263" s="4" t="s">
        <v>1246</v>
      </c>
      <c r="D263" s="4" t="s">
        <v>1337</v>
      </c>
      <c r="E263" s="4" t="s">
        <v>1338</v>
      </c>
      <c r="F263" s="4" t="s">
        <v>1339</v>
      </c>
      <c r="G263" s="4" t="s">
        <v>87</v>
      </c>
      <c r="H263" s="4" t="s">
        <v>43</v>
      </c>
      <c r="I263" s="4" t="s">
        <v>22</v>
      </c>
      <c r="J263" s="5" t="s">
        <v>30</v>
      </c>
      <c r="K263" s="6" t="s">
        <v>23</v>
      </c>
      <c r="L263" s="4" t="s">
        <v>1340</v>
      </c>
      <c r="M263" s="4" t="s">
        <v>45</v>
      </c>
      <c r="N263" s="7" t="n">
        <v>7</v>
      </c>
    </row>
    <row r="264" customFormat="false" ht="82.05" hidden="false" customHeight="false" outlineLevel="0" collapsed="false">
      <c r="B264" s="8" t="s">
        <v>1341</v>
      </c>
      <c r="C264" s="8" t="s">
        <v>1246</v>
      </c>
      <c r="D264" s="8" t="s">
        <v>1342</v>
      </c>
      <c r="E264" s="8" t="s">
        <v>1343</v>
      </c>
      <c r="F264" s="8" t="s">
        <v>1344</v>
      </c>
      <c r="G264" s="8" t="s">
        <v>42</v>
      </c>
      <c r="H264" s="8" t="s">
        <v>43</v>
      </c>
      <c r="I264" s="8" t="s">
        <v>22</v>
      </c>
      <c r="J264" s="9" t="s">
        <v>30</v>
      </c>
      <c r="K264" s="9" t="s">
        <v>31</v>
      </c>
      <c r="L264" s="8" t="s">
        <v>1345</v>
      </c>
      <c r="M264" s="8" t="s">
        <v>45</v>
      </c>
      <c r="N264" s="10" t="n">
        <v>8</v>
      </c>
    </row>
    <row r="265" customFormat="false" ht="82.05" hidden="false" customHeight="false" outlineLevel="0" collapsed="false">
      <c r="B265" s="4" t="s">
        <v>1346</v>
      </c>
      <c r="C265" s="4" t="s">
        <v>1347</v>
      </c>
      <c r="D265" s="4" t="s">
        <v>1348</v>
      </c>
      <c r="E265" s="4" t="s">
        <v>1349</v>
      </c>
      <c r="F265" s="4" t="s">
        <v>1350</v>
      </c>
      <c r="G265" s="4" t="s">
        <v>42</v>
      </c>
      <c r="H265" s="4" t="s">
        <v>43</v>
      </c>
      <c r="I265" s="5" t="s">
        <v>21</v>
      </c>
      <c r="J265" s="5" t="s">
        <v>30</v>
      </c>
      <c r="K265" s="6" t="s">
        <v>23</v>
      </c>
      <c r="L265" s="4" t="s">
        <v>1351</v>
      </c>
      <c r="M265" s="4" t="s">
        <v>45</v>
      </c>
      <c r="N265" s="7" t="n">
        <v>8</v>
      </c>
    </row>
    <row r="266" customFormat="false" ht="82.05" hidden="false" customHeight="false" outlineLevel="0" collapsed="false">
      <c r="B266" s="8" t="s">
        <v>1352</v>
      </c>
      <c r="C266" s="8" t="s">
        <v>1347</v>
      </c>
      <c r="D266" s="8" t="s">
        <v>1353</v>
      </c>
      <c r="E266" s="8" t="s">
        <v>1354</v>
      </c>
      <c r="F266" s="8" t="s">
        <v>1355</v>
      </c>
      <c r="G266" s="8" t="s">
        <v>19</v>
      </c>
      <c r="H266" s="8" t="s">
        <v>43</v>
      </c>
      <c r="I266" s="8" t="s">
        <v>22</v>
      </c>
      <c r="J266" s="9" t="s">
        <v>30</v>
      </c>
      <c r="K266" s="11" t="s">
        <v>23</v>
      </c>
      <c r="L266" s="8" t="s">
        <v>1356</v>
      </c>
      <c r="M266" s="8" t="s">
        <v>45</v>
      </c>
      <c r="N266" s="10" t="n">
        <v>7.5</v>
      </c>
    </row>
    <row r="267" customFormat="false" ht="95.5" hidden="false" customHeight="false" outlineLevel="0" collapsed="false">
      <c r="B267" s="4" t="s">
        <v>1357</v>
      </c>
      <c r="C267" s="4" t="s">
        <v>1347</v>
      </c>
      <c r="D267" s="4" t="s">
        <v>1358</v>
      </c>
      <c r="E267" s="4" t="s">
        <v>1359</v>
      </c>
      <c r="F267" s="4" t="s">
        <v>1360</v>
      </c>
      <c r="G267" s="4" t="s">
        <v>42</v>
      </c>
      <c r="H267" s="4" t="s">
        <v>43</v>
      </c>
      <c r="I267" s="4" t="s">
        <v>22</v>
      </c>
      <c r="J267" s="5" t="s">
        <v>30</v>
      </c>
      <c r="K267" s="6" t="s">
        <v>23</v>
      </c>
      <c r="L267" s="4" t="s">
        <v>1361</v>
      </c>
      <c r="M267" s="4" t="s">
        <v>45</v>
      </c>
      <c r="N267" s="7" t="n">
        <v>7.5</v>
      </c>
    </row>
    <row r="268" customFormat="false" ht="95.5" hidden="false" customHeight="false" outlineLevel="0" collapsed="false">
      <c r="B268" s="8" t="s">
        <v>1362</v>
      </c>
      <c r="C268" s="8" t="s">
        <v>1347</v>
      </c>
      <c r="D268" s="8" t="s">
        <v>1363</v>
      </c>
      <c r="E268" s="8" t="s">
        <v>1364</v>
      </c>
      <c r="F268" s="8" t="s">
        <v>1365</v>
      </c>
      <c r="G268" s="8" t="s">
        <v>150</v>
      </c>
      <c r="H268" s="8" t="s">
        <v>43</v>
      </c>
      <c r="I268" s="8" t="s">
        <v>22</v>
      </c>
      <c r="J268" s="9" t="s">
        <v>30</v>
      </c>
      <c r="K268" s="11" t="s">
        <v>23</v>
      </c>
      <c r="L268" s="8" t="s">
        <v>1366</v>
      </c>
      <c r="M268" s="8" t="s">
        <v>45</v>
      </c>
      <c r="N268" s="10" t="n">
        <v>7.5</v>
      </c>
    </row>
    <row r="269" customFormat="false" ht="95.5" hidden="false" customHeight="false" outlineLevel="0" collapsed="false">
      <c r="B269" s="4" t="s">
        <v>1367</v>
      </c>
      <c r="C269" s="4" t="s">
        <v>1347</v>
      </c>
      <c r="D269" s="4" t="s">
        <v>1368</v>
      </c>
      <c r="E269" s="4" t="s">
        <v>1369</v>
      </c>
      <c r="F269" s="4" t="s">
        <v>1370</v>
      </c>
      <c r="G269" s="4" t="s">
        <v>42</v>
      </c>
      <c r="H269" s="4" t="s">
        <v>43</v>
      </c>
      <c r="I269" s="4" t="s">
        <v>22</v>
      </c>
      <c r="J269" s="5" t="s">
        <v>30</v>
      </c>
      <c r="K269" s="6" t="s">
        <v>23</v>
      </c>
      <c r="L269" s="4" t="s">
        <v>1371</v>
      </c>
      <c r="M269" s="4" t="s">
        <v>45</v>
      </c>
      <c r="N269" s="7" t="n">
        <v>7</v>
      </c>
    </row>
    <row r="270" customFormat="false" ht="68.65" hidden="false" customHeight="false" outlineLevel="0" collapsed="false">
      <c r="B270" s="8" t="s">
        <v>1372</v>
      </c>
      <c r="C270" s="8" t="s">
        <v>1347</v>
      </c>
      <c r="D270" s="8" t="s">
        <v>1373</v>
      </c>
      <c r="E270" s="8" t="s">
        <v>1374</v>
      </c>
      <c r="F270" s="8" t="s">
        <v>1375</v>
      </c>
      <c r="G270" s="8" t="s">
        <v>150</v>
      </c>
      <c r="H270" s="8" t="s">
        <v>43</v>
      </c>
      <c r="I270" s="8" t="s">
        <v>22</v>
      </c>
      <c r="J270" s="9" t="s">
        <v>30</v>
      </c>
      <c r="K270" s="11" t="s">
        <v>23</v>
      </c>
      <c r="L270" s="8" t="s">
        <v>1376</v>
      </c>
      <c r="M270" s="8" t="s">
        <v>45</v>
      </c>
      <c r="N270" s="10" t="n">
        <v>7.5</v>
      </c>
    </row>
    <row r="271" customFormat="false" ht="95.5" hidden="false" customHeight="false" outlineLevel="0" collapsed="false">
      <c r="B271" s="4" t="s">
        <v>1377</v>
      </c>
      <c r="C271" s="4" t="s">
        <v>1347</v>
      </c>
      <c r="D271" s="4" t="s">
        <v>1378</v>
      </c>
      <c r="E271" s="4" t="s">
        <v>1379</v>
      </c>
      <c r="F271" s="4" t="s">
        <v>1380</v>
      </c>
      <c r="G271" s="4" t="s">
        <v>150</v>
      </c>
      <c r="H271" s="4" t="s">
        <v>43</v>
      </c>
      <c r="I271" s="4" t="s">
        <v>22</v>
      </c>
      <c r="J271" s="5" t="s">
        <v>30</v>
      </c>
      <c r="K271" s="6" t="s">
        <v>23</v>
      </c>
      <c r="L271" s="4" t="s">
        <v>1381</v>
      </c>
      <c r="M271" s="4" t="s">
        <v>45</v>
      </c>
      <c r="N271" s="7" t="n">
        <v>7</v>
      </c>
    </row>
    <row r="272" customFormat="false" ht="82.05" hidden="false" customHeight="false" outlineLevel="0" collapsed="false">
      <c r="B272" s="8" t="s">
        <v>1382</v>
      </c>
      <c r="C272" s="8" t="s">
        <v>1347</v>
      </c>
      <c r="D272" s="8" t="s">
        <v>1383</v>
      </c>
      <c r="E272" s="8" t="s">
        <v>1384</v>
      </c>
      <c r="F272" s="8" t="s">
        <v>1385</v>
      </c>
      <c r="G272" s="8" t="s">
        <v>150</v>
      </c>
      <c r="H272" s="8" t="s">
        <v>43</v>
      </c>
      <c r="I272" s="8" t="s">
        <v>22</v>
      </c>
      <c r="J272" s="9" t="s">
        <v>30</v>
      </c>
      <c r="K272" s="11" t="s">
        <v>23</v>
      </c>
      <c r="L272" s="8" t="s">
        <v>1386</v>
      </c>
      <c r="M272" s="8" t="s">
        <v>45</v>
      </c>
      <c r="N272" s="10" t="n">
        <v>6.5</v>
      </c>
    </row>
    <row r="273" customFormat="false" ht="68.65" hidden="false" customHeight="false" outlineLevel="0" collapsed="false">
      <c r="B273" s="4" t="s">
        <v>1387</v>
      </c>
      <c r="C273" s="4" t="s">
        <v>1347</v>
      </c>
      <c r="D273" s="4" t="s">
        <v>1388</v>
      </c>
      <c r="E273" s="4" t="s">
        <v>1389</v>
      </c>
      <c r="F273" s="4" t="s">
        <v>1390</v>
      </c>
      <c r="G273" s="4" t="s">
        <v>150</v>
      </c>
      <c r="H273" s="4" t="s">
        <v>43</v>
      </c>
      <c r="I273" s="4" t="s">
        <v>22</v>
      </c>
      <c r="J273" s="4" t="s">
        <v>22</v>
      </c>
      <c r="K273" s="6" t="s">
        <v>23</v>
      </c>
      <c r="L273" s="4" t="s">
        <v>1391</v>
      </c>
      <c r="M273" s="4" t="s">
        <v>45</v>
      </c>
      <c r="N273" s="7" t="n">
        <v>6.5</v>
      </c>
    </row>
    <row r="274" customFormat="false" ht="95.5" hidden="false" customHeight="false" outlineLevel="0" collapsed="false">
      <c r="B274" s="8" t="s">
        <v>1392</v>
      </c>
      <c r="C274" s="8" t="s">
        <v>1347</v>
      </c>
      <c r="D274" s="8" t="s">
        <v>1393</v>
      </c>
      <c r="E274" s="8" t="s">
        <v>1394</v>
      </c>
      <c r="F274" s="8" t="s">
        <v>1395</v>
      </c>
      <c r="G274" s="8" t="s">
        <v>150</v>
      </c>
      <c r="H274" s="8" t="s">
        <v>43</v>
      </c>
      <c r="I274" s="8" t="s">
        <v>22</v>
      </c>
      <c r="J274" s="8" t="s">
        <v>22</v>
      </c>
      <c r="K274" s="11" t="s">
        <v>23</v>
      </c>
      <c r="L274" s="8" t="s">
        <v>1396</v>
      </c>
      <c r="M274" s="8" t="s">
        <v>45</v>
      </c>
      <c r="N274" s="10" t="n">
        <v>6.5</v>
      </c>
    </row>
    <row r="275" customFormat="false" ht="68.65" hidden="false" customHeight="false" outlineLevel="0" collapsed="false">
      <c r="B275" s="4" t="s">
        <v>1397</v>
      </c>
      <c r="C275" s="4" t="s">
        <v>1347</v>
      </c>
      <c r="D275" s="4" t="s">
        <v>1398</v>
      </c>
      <c r="E275" s="4" t="s">
        <v>1399</v>
      </c>
      <c r="F275" s="4" t="s">
        <v>1400</v>
      </c>
      <c r="G275" s="4" t="s">
        <v>42</v>
      </c>
      <c r="H275" s="4" t="s">
        <v>43</v>
      </c>
      <c r="I275" s="4" t="s">
        <v>22</v>
      </c>
      <c r="J275" s="5" t="s">
        <v>30</v>
      </c>
      <c r="K275" s="6" t="s">
        <v>23</v>
      </c>
      <c r="L275" s="4" t="s">
        <v>1401</v>
      </c>
      <c r="M275" s="4" t="s">
        <v>45</v>
      </c>
      <c r="N275" s="7" t="n">
        <v>7.5</v>
      </c>
    </row>
    <row r="276" customFormat="false" ht="82.05" hidden="false" customHeight="false" outlineLevel="0" collapsed="false">
      <c r="B276" s="8" t="s">
        <v>1402</v>
      </c>
      <c r="C276" s="8" t="s">
        <v>1347</v>
      </c>
      <c r="D276" s="8" t="s">
        <v>1403</v>
      </c>
      <c r="E276" s="8" t="s">
        <v>1404</v>
      </c>
      <c r="F276" s="8" t="s">
        <v>1405</v>
      </c>
      <c r="G276" s="8" t="s">
        <v>19</v>
      </c>
      <c r="H276" s="8" t="s">
        <v>43</v>
      </c>
      <c r="I276" s="9" t="s">
        <v>21</v>
      </c>
      <c r="J276" s="9" t="s">
        <v>30</v>
      </c>
      <c r="K276" s="11" t="s">
        <v>23</v>
      </c>
      <c r="L276" s="8" t="s">
        <v>1406</v>
      </c>
      <c r="M276" s="8" t="s">
        <v>45</v>
      </c>
      <c r="N276" s="10" t="n">
        <v>8</v>
      </c>
    </row>
    <row r="277" customFormat="false" ht="82.05" hidden="false" customHeight="false" outlineLevel="0" collapsed="false">
      <c r="B277" s="4" t="s">
        <v>1407</v>
      </c>
      <c r="C277" s="4" t="s">
        <v>1347</v>
      </c>
      <c r="D277" s="4" t="s">
        <v>1408</v>
      </c>
      <c r="E277" s="4" t="s">
        <v>1409</v>
      </c>
      <c r="F277" s="4" t="s">
        <v>1410</v>
      </c>
      <c r="G277" s="4" t="s">
        <v>87</v>
      </c>
      <c r="H277" s="4" t="s">
        <v>43</v>
      </c>
      <c r="I277" s="4" t="s">
        <v>22</v>
      </c>
      <c r="J277" s="5" t="s">
        <v>30</v>
      </c>
      <c r="K277" s="6" t="s">
        <v>23</v>
      </c>
      <c r="L277" s="4" t="s">
        <v>1411</v>
      </c>
      <c r="M277" s="4" t="s">
        <v>45</v>
      </c>
      <c r="N277" s="7" t="n">
        <v>7</v>
      </c>
    </row>
    <row r="278" customFormat="false" ht="68.65" hidden="false" customHeight="false" outlineLevel="0" collapsed="false">
      <c r="B278" s="8" t="s">
        <v>1412</v>
      </c>
      <c r="C278" s="8" t="s">
        <v>1347</v>
      </c>
      <c r="D278" s="8" t="s">
        <v>1413</v>
      </c>
      <c r="E278" s="8" t="s">
        <v>1414</v>
      </c>
      <c r="F278" s="8" t="s">
        <v>1415</v>
      </c>
      <c r="G278" s="8" t="s">
        <v>19</v>
      </c>
      <c r="H278" s="8" t="s">
        <v>43</v>
      </c>
      <c r="I278" s="8" t="s">
        <v>22</v>
      </c>
      <c r="J278" s="9" t="s">
        <v>30</v>
      </c>
      <c r="K278" s="11" t="s">
        <v>23</v>
      </c>
      <c r="L278" s="8" t="s">
        <v>1416</v>
      </c>
      <c r="M278" s="8" t="s">
        <v>45</v>
      </c>
      <c r="N278" s="10" t="n">
        <v>7.5</v>
      </c>
    </row>
    <row r="279" customFormat="false" ht="68.65" hidden="false" customHeight="false" outlineLevel="0" collapsed="false">
      <c r="B279" s="4" t="s">
        <v>1417</v>
      </c>
      <c r="C279" s="4" t="s">
        <v>1347</v>
      </c>
      <c r="D279" s="4" t="s">
        <v>1418</v>
      </c>
      <c r="E279" s="4" t="s">
        <v>1419</v>
      </c>
      <c r="F279" s="4" t="s">
        <v>1420</v>
      </c>
      <c r="G279" s="4" t="s">
        <v>76</v>
      </c>
      <c r="H279" s="4" t="s">
        <v>43</v>
      </c>
      <c r="I279" s="4" t="s">
        <v>22</v>
      </c>
      <c r="J279" s="5" t="s">
        <v>30</v>
      </c>
      <c r="K279" s="6" t="s">
        <v>23</v>
      </c>
      <c r="L279" s="4" t="s">
        <v>1421</v>
      </c>
      <c r="M279" s="4" t="s">
        <v>45</v>
      </c>
      <c r="N279" s="7" t="n">
        <v>8</v>
      </c>
    </row>
    <row r="280" customFormat="false" ht="82.05" hidden="false" customHeight="false" outlineLevel="0" collapsed="false">
      <c r="B280" s="8" t="s">
        <v>1422</v>
      </c>
      <c r="C280" s="8" t="s">
        <v>1347</v>
      </c>
      <c r="D280" s="8" t="s">
        <v>1423</v>
      </c>
      <c r="E280" s="8" t="s">
        <v>1424</v>
      </c>
      <c r="F280" s="8" t="s">
        <v>1425</v>
      </c>
      <c r="G280" s="8" t="s">
        <v>76</v>
      </c>
      <c r="H280" s="8" t="s">
        <v>43</v>
      </c>
      <c r="I280" s="9" t="s">
        <v>21</v>
      </c>
      <c r="J280" s="9" t="s">
        <v>30</v>
      </c>
      <c r="K280" s="11" t="s">
        <v>23</v>
      </c>
      <c r="L280" s="8" t="s">
        <v>1426</v>
      </c>
      <c r="M280" s="8" t="s">
        <v>45</v>
      </c>
      <c r="N280" s="10" t="n">
        <v>8.5</v>
      </c>
    </row>
    <row r="281" customFormat="false" ht="68.65" hidden="false" customHeight="false" outlineLevel="0" collapsed="false">
      <c r="B281" s="4" t="s">
        <v>1427</v>
      </c>
      <c r="C281" s="4" t="s">
        <v>1347</v>
      </c>
      <c r="D281" s="4" t="s">
        <v>1428</v>
      </c>
      <c r="E281" s="4" t="s">
        <v>1429</v>
      </c>
      <c r="F281" s="4" t="s">
        <v>1430</v>
      </c>
      <c r="G281" s="4" t="s">
        <v>42</v>
      </c>
      <c r="H281" s="4" t="s">
        <v>43</v>
      </c>
      <c r="I281" s="4" t="s">
        <v>22</v>
      </c>
      <c r="J281" s="5" t="s">
        <v>30</v>
      </c>
      <c r="K281" s="6" t="s">
        <v>23</v>
      </c>
      <c r="L281" s="4" t="s">
        <v>1431</v>
      </c>
      <c r="M281" s="4" t="s">
        <v>45</v>
      </c>
      <c r="N281" s="7" t="n">
        <v>7.5</v>
      </c>
    </row>
    <row r="282" customFormat="false" ht="82.05" hidden="false" customHeight="false" outlineLevel="0" collapsed="false">
      <c r="B282" s="8" t="s">
        <v>1432</v>
      </c>
      <c r="C282" s="8" t="s">
        <v>1347</v>
      </c>
      <c r="D282" s="8" t="s">
        <v>1433</v>
      </c>
      <c r="E282" s="8" t="s">
        <v>1434</v>
      </c>
      <c r="F282" s="8" t="s">
        <v>1435</v>
      </c>
      <c r="G282" s="8" t="s">
        <v>76</v>
      </c>
      <c r="H282" s="8" t="s">
        <v>43</v>
      </c>
      <c r="I282" s="8" t="s">
        <v>22</v>
      </c>
      <c r="J282" s="9" t="s">
        <v>30</v>
      </c>
      <c r="K282" s="11" t="s">
        <v>23</v>
      </c>
      <c r="L282" s="8" t="s">
        <v>1436</v>
      </c>
      <c r="M282" s="8" t="s">
        <v>45</v>
      </c>
      <c r="N282" s="10" t="n">
        <v>7</v>
      </c>
    </row>
    <row r="283" customFormat="false" ht="68.65" hidden="false" customHeight="false" outlineLevel="0" collapsed="false">
      <c r="B283" s="4" t="s">
        <v>1437</v>
      </c>
      <c r="C283" s="4" t="s">
        <v>1347</v>
      </c>
      <c r="D283" s="4" t="s">
        <v>1438</v>
      </c>
      <c r="E283" s="4" t="s">
        <v>1439</v>
      </c>
      <c r="F283" s="4" t="s">
        <v>1440</v>
      </c>
      <c r="G283" s="4" t="s">
        <v>87</v>
      </c>
      <c r="H283" s="4" t="s">
        <v>43</v>
      </c>
      <c r="I283" s="4" t="s">
        <v>22</v>
      </c>
      <c r="J283" s="5" t="s">
        <v>30</v>
      </c>
      <c r="K283" s="6" t="s">
        <v>23</v>
      </c>
      <c r="L283" s="4" t="s">
        <v>1441</v>
      </c>
      <c r="M283" s="4" t="s">
        <v>45</v>
      </c>
      <c r="N283" s="7" t="n">
        <v>8</v>
      </c>
    </row>
    <row r="284" customFormat="false" ht="82.05" hidden="false" customHeight="false" outlineLevel="0" collapsed="false">
      <c r="B284" s="8" t="s">
        <v>1442</v>
      </c>
      <c r="C284" s="8" t="s">
        <v>1347</v>
      </c>
      <c r="D284" s="8" t="s">
        <v>1443</v>
      </c>
      <c r="E284" s="8" t="s">
        <v>1444</v>
      </c>
      <c r="F284" s="8" t="s">
        <v>1445</v>
      </c>
      <c r="G284" s="8" t="s">
        <v>42</v>
      </c>
      <c r="H284" s="8" t="s">
        <v>43</v>
      </c>
      <c r="I284" s="9" t="s">
        <v>21</v>
      </c>
      <c r="J284" s="9" t="s">
        <v>30</v>
      </c>
      <c r="K284" s="11" t="s">
        <v>23</v>
      </c>
      <c r="L284" s="8" t="s">
        <v>1446</v>
      </c>
      <c r="M284" s="8" t="s">
        <v>45</v>
      </c>
      <c r="N284" s="10" t="n">
        <v>8.5</v>
      </c>
    </row>
    <row r="285" customFormat="false" ht="95.5" hidden="false" customHeight="false" outlineLevel="0" collapsed="false">
      <c r="B285" s="4" t="s">
        <v>1447</v>
      </c>
      <c r="C285" s="4" t="s">
        <v>1448</v>
      </c>
      <c r="D285" s="4" t="s">
        <v>1449</v>
      </c>
      <c r="E285" s="4" t="s">
        <v>1450</v>
      </c>
      <c r="F285" s="4" t="s">
        <v>1451</v>
      </c>
      <c r="G285" s="4" t="s">
        <v>42</v>
      </c>
      <c r="H285" s="4" t="s">
        <v>43</v>
      </c>
      <c r="I285" s="5" t="s">
        <v>21</v>
      </c>
      <c r="J285" s="4" t="s">
        <v>22</v>
      </c>
      <c r="K285" s="6" t="s">
        <v>23</v>
      </c>
      <c r="L285" s="4" t="s">
        <v>1452</v>
      </c>
      <c r="M285" s="4" t="s">
        <v>45</v>
      </c>
      <c r="N285" s="7" t="n">
        <v>7.5</v>
      </c>
    </row>
    <row r="286" customFormat="false" ht="95.5" hidden="false" customHeight="false" outlineLevel="0" collapsed="false">
      <c r="B286" s="8" t="s">
        <v>1453</v>
      </c>
      <c r="C286" s="8" t="s">
        <v>1448</v>
      </c>
      <c r="D286" s="8" t="s">
        <v>1454</v>
      </c>
      <c r="E286" s="8" t="s">
        <v>1455</v>
      </c>
      <c r="F286" s="8" t="s">
        <v>1456</v>
      </c>
      <c r="G286" s="8" t="s">
        <v>42</v>
      </c>
      <c r="H286" s="8" t="s">
        <v>43</v>
      </c>
      <c r="I286" s="9" t="s">
        <v>21</v>
      </c>
      <c r="J286" s="8" t="s">
        <v>22</v>
      </c>
      <c r="K286" s="11" t="s">
        <v>23</v>
      </c>
      <c r="L286" s="8" t="s">
        <v>1457</v>
      </c>
      <c r="M286" s="8" t="s">
        <v>45</v>
      </c>
      <c r="N286" s="10" t="n">
        <v>7</v>
      </c>
    </row>
    <row r="287" customFormat="false" ht="68.65" hidden="false" customHeight="false" outlineLevel="0" collapsed="false">
      <c r="B287" s="4" t="s">
        <v>1458</v>
      </c>
      <c r="C287" s="4" t="s">
        <v>1448</v>
      </c>
      <c r="D287" s="4" t="s">
        <v>1459</v>
      </c>
      <c r="E287" s="4" t="s">
        <v>1460</v>
      </c>
      <c r="F287" s="4" t="s">
        <v>1461</v>
      </c>
      <c r="G287" s="4" t="s">
        <v>42</v>
      </c>
      <c r="H287" s="4" t="s">
        <v>43</v>
      </c>
      <c r="I287" s="4" t="s">
        <v>22</v>
      </c>
      <c r="J287" s="4" t="s">
        <v>22</v>
      </c>
      <c r="K287" s="6" t="s">
        <v>23</v>
      </c>
      <c r="L287" s="4" t="s">
        <v>1462</v>
      </c>
      <c r="M287" s="4" t="s">
        <v>45</v>
      </c>
      <c r="N287" s="7" t="n">
        <v>7.5</v>
      </c>
    </row>
    <row r="288" customFormat="false" ht="95.5" hidden="false" customHeight="false" outlineLevel="0" collapsed="false">
      <c r="B288" s="8" t="s">
        <v>1463</v>
      </c>
      <c r="C288" s="8" t="s">
        <v>1448</v>
      </c>
      <c r="D288" s="8" t="s">
        <v>1464</v>
      </c>
      <c r="E288" s="8" t="s">
        <v>1465</v>
      </c>
      <c r="F288" s="8" t="s">
        <v>1466</v>
      </c>
      <c r="G288" s="8" t="s">
        <v>42</v>
      </c>
      <c r="H288" s="8" t="s">
        <v>43</v>
      </c>
      <c r="I288" s="9" t="s">
        <v>21</v>
      </c>
      <c r="J288" s="8" t="s">
        <v>22</v>
      </c>
      <c r="K288" s="9" t="s">
        <v>31</v>
      </c>
      <c r="L288" s="8" t="s">
        <v>1467</v>
      </c>
      <c r="M288" s="8" t="s">
        <v>45</v>
      </c>
      <c r="N288" s="10" t="n">
        <v>7.5</v>
      </c>
    </row>
    <row r="289" customFormat="false" ht="82.05" hidden="false" customHeight="false" outlineLevel="0" collapsed="false">
      <c r="B289" s="4" t="s">
        <v>1468</v>
      </c>
      <c r="C289" s="4" t="s">
        <v>1448</v>
      </c>
      <c r="D289" s="4" t="s">
        <v>1469</v>
      </c>
      <c r="E289" s="4" t="s">
        <v>1470</v>
      </c>
      <c r="F289" s="4" t="s">
        <v>1471</v>
      </c>
      <c r="G289" s="4" t="s">
        <v>50</v>
      </c>
      <c r="H289" s="4" t="s">
        <v>43</v>
      </c>
      <c r="I289" s="5" t="s">
        <v>21</v>
      </c>
      <c r="J289" s="13" t="s">
        <v>88</v>
      </c>
      <c r="K289" s="6" t="s">
        <v>23</v>
      </c>
      <c r="L289" s="4" t="s">
        <v>1472</v>
      </c>
      <c r="M289" s="4" t="s">
        <v>45</v>
      </c>
      <c r="N289" s="7" t="n">
        <v>7</v>
      </c>
    </row>
    <row r="290" customFormat="false" ht="68.65" hidden="false" customHeight="false" outlineLevel="0" collapsed="false">
      <c r="B290" s="8" t="s">
        <v>1473</v>
      </c>
      <c r="C290" s="8" t="s">
        <v>1448</v>
      </c>
      <c r="D290" s="8" t="s">
        <v>1474</v>
      </c>
      <c r="E290" s="8" t="s">
        <v>1475</v>
      </c>
      <c r="F290" s="8" t="s">
        <v>1476</v>
      </c>
      <c r="G290" s="8" t="s">
        <v>150</v>
      </c>
      <c r="H290" s="8" t="s">
        <v>43</v>
      </c>
      <c r="I290" s="9" t="s">
        <v>21</v>
      </c>
      <c r="J290" s="8" t="s">
        <v>22</v>
      </c>
      <c r="K290" s="11" t="s">
        <v>23</v>
      </c>
      <c r="L290" s="8" t="s">
        <v>1477</v>
      </c>
      <c r="M290" s="8" t="s">
        <v>45</v>
      </c>
      <c r="N290" s="10" t="n">
        <v>7.5</v>
      </c>
    </row>
    <row r="291" customFormat="false" ht="82.05" hidden="false" customHeight="false" outlineLevel="0" collapsed="false">
      <c r="B291" s="4" t="s">
        <v>1478</v>
      </c>
      <c r="C291" s="4" t="s">
        <v>1448</v>
      </c>
      <c r="D291" s="4" t="s">
        <v>1479</v>
      </c>
      <c r="E291" s="4" t="s">
        <v>1480</v>
      </c>
      <c r="F291" s="4" t="s">
        <v>1481</v>
      </c>
      <c r="G291" s="4" t="s">
        <v>42</v>
      </c>
      <c r="H291" s="4" t="s">
        <v>20</v>
      </c>
      <c r="I291" s="4" t="s">
        <v>22</v>
      </c>
      <c r="J291" s="5" t="s">
        <v>30</v>
      </c>
      <c r="K291" s="5" t="s">
        <v>31</v>
      </c>
      <c r="L291" s="4" t="s">
        <v>1482</v>
      </c>
      <c r="M291" s="4" t="s">
        <v>25</v>
      </c>
      <c r="N291" s="7" t="n">
        <v>8</v>
      </c>
    </row>
    <row r="292" customFormat="false" ht="55.2" hidden="false" customHeight="false" outlineLevel="0" collapsed="false">
      <c r="B292" s="8" t="s">
        <v>1483</v>
      </c>
      <c r="C292" s="8" t="s">
        <v>1448</v>
      </c>
      <c r="D292" s="8" t="s">
        <v>1484</v>
      </c>
      <c r="E292" s="8" t="s">
        <v>1485</v>
      </c>
      <c r="F292" s="8" t="s">
        <v>1486</v>
      </c>
      <c r="G292" s="8" t="s">
        <v>19</v>
      </c>
      <c r="H292" s="8" t="s">
        <v>20</v>
      </c>
      <c r="I292" s="9" t="s">
        <v>21</v>
      </c>
      <c r="J292" s="9" t="s">
        <v>30</v>
      </c>
      <c r="K292" s="11" t="s">
        <v>23</v>
      </c>
      <c r="L292" s="8" t="s">
        <v>1487</v>
      </c>
      <c r="M292" s="8" t="s">
        <v>25</v>
      </c>
      <c r="N292" s="10" t="n">
        <v>9</v>
      </c>
    </row>
    <row r="293" customFormat="false" ht="95.5" hidden="false" customHeight="false" outlineLevel="0" collapsed="false">
      <c r="B293" s="4" t="s">
        <v>1488</v>
      </c>
      <c r="C293" s="4" t="s">
        <v>1448</v>
      </c>
      <c r="D293" s="4" t="s">
        <v>1489</v>
      </c>
      <c r="E293" s="4" t="s">
        <v>1490</v>
      </c>
      <c r="F293" s="4" t="s">
        <v>1491</v>
      </c>
      <c r="G293" s="4" t="s">
        <v>42</v>
      </c>
      <c r="H293" s="4" t="s">
        <v>20</v>
      </c>
      <c r="I293" s="5" t="s">
        <v>21</v>
      </c>
      <c r="J293" s="5" t="s">
        <v>30</v>
      </c>
      <c r="K293" s="5" t="s">
        <v>31</v>
      </c>
      <c r="L293" s="4" t="s">
        <v>1492</v>
      </c>
      <c r="M293" s="4" t="s">
        <v>25</v>
      </c>
      <c r="N293" s="7" t="n">
        <v>8.5</v>
      </c>
    </row>
    <row r="294" customFormat="false" ht="82.05" hidden="false" customHeight="false" outlineLevel="0" collapsed="false">
      <c r="B294" s="8" t="s">
        <v>1493</v>
      </c>
      <c r="C294" s="8" t="s">
        <v>1448</v>
      </c>
      <c r="D294" s="8" t="s">
        <v>1494</v>
      </c>
      <c r="E294" s="8" t="s">
        <v>1495</v>
      </c>
      <c r="F294" s="8" t="s">
        <v>1496</v>
      </c>
      <c r="G294" s="8" t="s">
        <v>42</v>
      </c>
      <c r="H294" s="8" t="s">
        <v>43</v>
      </c>
      <c r="I294" s="8" t="s">
        <v>22</v>
      </c>
      <c r="J294" s="9" t="s">
        <v>30</v>
      </c>
      <c r="K294" s="11" t="s">
        <v>23</v>
      </c>
      <c r="L294" s="8" t="s">
        <v>1497</v>
      </c>
      <c r="M294" s="8" t="s">
        <v>25</v>
      </c>
      <c r="N294" s="10" t="n">
        <v>7</v>
      </c>
    </row>
    <row r="295" customFormat="false" ht="68.65" hidden="false" customHeight="false" outlineLevel="0" collapsed="false">
      <c r="B295" s="4" t="s">
        <v>1498</v>
      </c>
      <c r="C295" s="4" t="s">
        <v>1448</v>
      </c>
      <c r="D295" s="4" t="s">
        <v>1499</v>
      </c>
      <c r="E295" s="4" t="s">
        <v>1500</v>
      </c>
      <c r="F295" s="4" t="s">
        <v>1501</v>
      </c>
      <c r="G295" s="4" t="s">
        <v>42</v>
      </c>
      <c r="H295" s="4" t="s">
        <v>43</v>
      </c>
      <c r="I295" s="4" t="s">
        <v>22</v>
      </c>
      <c r="J295" s="5" t="s">
        <v>30</v>
      </c>
      <c r="K295" s="6" t="s">
        <v>23</v>
      </c>
      <c r="L295" s="4" t="s">
        <v>1502</v>
      </c>
      <c r="M295" s="4" t="s">
        <v>45</v>
      </c>
      <c r="N295" s="7" t="n">
        <v>8</v>
      </c>
    </row>
    <row r="296" customFormat="false" ht="82.05" hidden="false" customHeight="false" outlineLevel="0" collapsed="false">
      <c r="B296" s="8" t="s">
        <v>1503</v>
      </c>
      <c r="C296" s="8" t="s">
        <v>1448</v>
      </c>
      <c r="D296" s="8" t="s">
        <v>1504</v>
      </c>
      <c r="E296" s="8" t="s">
        <v>1505</v>
      </c>
      <c r="F296" s="8" t="s">
        <v>1506</v>
      </c>
      <c r="G296" s="8" t="s">
        <v>76</v>
      </c>
      <c r="H296" s="8" t="s">
        <v>43</v>
      </c>
      <c r="I296" s="8" t="s">
        <v>22</v>
      </c>
      <c r="J296" s="9" t="s">
        <v>30</v>
      </c>
      <c r="K296" s="11" t="s">
        <v>23</v>
      </c>
      <c r="L296" s="8" t="s">
        <v>1507</v>
      </c>
      <c r="M296" s="8" t="s">
        <v>45</v>
      </c>
      <c r="N296" s="10" t="n">
        <v>7</v>
      </c>
    </row>
    <row r="297" customFormat="false" ht="82.05" hidden="false" customHeight="false" outlineLevel="0" collapsed="false">
      <c r="B297" s="4" t="s">
        <v>1508</v>
      </c>
      <c r="C297" s="4" t="s">
        <v>1448</v>
      </c>
      <c r="D297" s="4" t="s">
        <v>1509</v>
      </c>
      <c r="E297" s="4" t="s">
        <v>1510</v>
      </c>
      <c r="F297" s="4" t="s">
        <v>1511</v>
      </c>
      <c r="G297" s="4" t="s">
        <v>42</v>
      </c>
      <c r="H297" s="4" t="s">
        <v>43</v>
      </c>
      <c r="I297" s="4" t="s">
        <v>22</v>
      </c>
      <c r="J297" s="13" t="s">
        <v>88</v>
      </c>
      <c r="K297" s="6" t="s">
        <v>23</v>
      </c>
      <c r="L297" s="4" t="s">
        <v>1512</v>
      </c>
      <c r="M297" s="4" t="s">
        <v>45</v>
      </c>
      <c r="N297" s="7" t="n">
        <v>7</v>
      </c>
    </row>
    <row r="298" customFormat="false" ht="95.5" hidden="false" customHeight="false" outlineLevel="0" collapsed="false">
      <c r="B298" s="8" t="s">
        <v>1513</v>
      </c>
      <c r="C298" s="8" t="s">
        <v>1448</v>
      </c>
      <c r="D298" s="8" t="s">
        <v>1514</v>
      </c>
      <c r="E298" s="8" t="s">
        <v>1515</v>
      </c>
      <c r="F298" s="8" t="s">
        <v>1516</v>
      </c>
      <c r="G298" s="8" t="s">
        <v>42</v>
      </c>
      <c r="H298" s="8" t="s">
        <v>43</v>
      </c>
      <c r="I298" s="8" t="s">
        <v>22</v>
      </c>
      <c r="J298" s="8" t="s">
        <v>22</v>
      </c>
      <c r="K298" s="9" t="s">
        <v>31</v>
      </c>
      <c r="L298" s="8" t="s">
        <v>1517</v>
      </c>
      <c r="M298" s="8" t="s">
        <v>45</v>
      </c>
      <c r="N298" s="10" t="n">
        <v>7</v>
      </c>
    </row>
    <row r="299" customFormat="false" ht="68.65" hidden="false" customHeight="false" outlineLevel="0" collapsed="false">
      <c r="B299" s="4" t="s">
        <v>1518</v>
      </c>
      <c r="C299" s="4" t="s">
        <v>1448</v>
      </c>
      <c r="D299" s="4" t="s">
        <v>1519</v>
      </c>
      <c r="E299" s="4" t="s">
        <v>1520</v>
      </c>
      <c r="F299" s="4" t="s">
        <v>1521</v>
      </c>
      <c r="G299" s="4" t="s">
        <v>76</v>
      </c>
      <c r="H299" s="4" t="s">
        <v>43</v>
      </c>
      <c r="I299" s="4" t="s">
        <v>22</v>
      </c>
      <c r="J299" s="5" t="s">
        <v>30</v>
      </c>
      <c r="K299" s="6" t="s">
        <v>23</v>
      </c>
      <c r="L299" s="4" t="s">
        <v>1522</v>
      </c>
      <c r="M299" s="4" t="s">
        <v>45</v>
      </c>
      <c r="N299" s="7" t="n">
        <v>7.5</v>
      </c>
    </row>
    <row r="300" customFormat="false" ht="68.65" hidden="false" customHeight="false" outlineLevel="0" collapsed="false">
      <c r="B300" s="8" t="s">
        <v>1523</v>
      </c>
      <c r="C300" s="8" t="s">
        <v>1448</v>
      </c>
      <c r="D300" s="8" t="s">
        <v>1524</v>
      </c>
      <c r="E300" s="8" t="s">
        <v>1525</v>
      </c>
      <c r="F300" s="8" t="s">
        <v>1526</v>
      </c>
      <c r="G300" s="8" t="s">
        <v>76</v>
      </c>
      <c r="H300" s="8" t="s">
        <v>43</v>
      </c>
      <c r="I300" s="8" t="s">
        <v>22</v>
      </c>
      <c r="J300" s="9" t="s">
        <v>30</v>
      </c>
      <c r="K300" s="11" t="s">
        <v>23</v>
      </c>
      <c r="L300" s="8" t="s">
        <v>1527</v>
      </c>
      <c r="M300" s="8" t="s">
        <v>45</v>
      </c>
      <c r="N300" s="10" t="n">
        <v>7.5</v>
      </c>
    </row>
    <row r="301" customFormat="false" ht="82.05" hidden="false" customHeight="false" outlineLevel="0" collapsed="false">
      <c r="B301" s="4" t="s">
        <v>1528</v>
      </c>
      <c r="C301" s="4" t="s">
        <v>1448</v>
      </c>
      <c r="D301" s="4" t="s">
        <v>1529</v>
      </c>
      <c r="E301" s="4" t="s">
        <v>1530</v>
      </c>
      <c r="F301" s="4" t="s">
        <v>1531</v>
      </c>
      <c r="G301" s="4" t="s">
        <v>42</v>
      </c>
      <c r="H301" s="4" t="s">
        <v>43</v>
      </c>
      <c r="I301" s="4" t="s">
        <v>22</v>
      </c>
      <c r="J301" s="13" t="s">
        <v>88</v>
      </c>
      <c r="K301" s="5" t="s">
        <v>31</v>
      </c>
      <c r="L301" s="4" t="s">
        <v>1532</v>
      </c>
      <c r="M301" s="4" t="s">
        <v>45</v>
      </c>
      <c r="N301" s="7" t="n">
        <v>7</v>
      </c>
    </row>
    <row r="302" customFormat="false" ht="68.65" hidden="false" customHeight="false" outlineLevel="0" collapsed="false">
      <c r="B302" s="8" t="s">
        <v>1533</v>
      </c>
      <c r="C302" s="8" t="s">
        <v>1448</v>
      </c>
      <c r="D302" s="8" t="s">
        <v>1534</v>
      </c>
      <c r="E302" s="8" t="s">
        <v>1535</v>
      </c>
      <c r="F302" s="8" t="s">
        <v>1536</v>
      </c>
      <c r="G302" s="8" t="s">
        <v>42</v>
      </c>
      <c r="H302" s="8" t="s">
        <v>43</v>
      </c>
      <c r="I302" s="8" t="s">
        <v>22</v>
      </c>
      <c r="J302" s="9" t="s">
        <v>30</v>
      </c>
      <c r="K302" s="11" t="s">
        <v>23</v>
      </c>
      <c r="L302" s="8" t="s">
        <v>1537</v>
      </c>
      <c r="M302" s="8" t="s">
        <v>45</v>
      </c>
      <c r="N302" s="10" t="n">
        <v>7.5</v>
      </c>
    </row>
    <row r="303" customFormat="false" ht="68.65" hidden="false" customHeight="false" outlineLevel="0" collapsed="false">
      <c r="B303" s="4" t="s">
        <v>1538</v>
      </c>
      <c r="C303" s="4" t="s">
        <v>1448</v>
      </c>
      <c r="D303" s="4" t="s">
        <v>1539</v>
      </c>
      <c r="E303" s="4" t="s">
        <v>1540</v>
      </c>
      <c r="F303" s="4" t="s">
        <v>1541</v>
      </c>
      <c r="G303" s="4" t="s">
        <v>150</v>
      </c>
      <c r="H303" s="4" t="s">
        <v>43</v>
      </c>
      <c r="I303" s="4" t="s">
        <v>22</v>
      </c>
      <c r="J303" s="5" t="s">
        <v>30</v>
      </c>
      <c r="K303" s="5" t="s">
        <v>31</v>
      </c>
      <c r="L303" s="4" t="s">
        <v>1542</v>
      </c>
      <c r="M303" s="4" t="s">
        <v>45</v>
      </c>
      <c r="N303" s="7" t="n">
        <v>7.5</v>
      </c>
    </row>
    <row r="304" customFormat="false" ht="68.65" hidden="false" customHeight="false" outlineLevel="0" collapsed="false">
      <c r="B304" s="8" t="s">
        <v>1543</v>
      </c>
      <c r="C304" s="8" t="s">
        <v>1448</v>
      </c>
      <c r="D304" s="8" t="s">
        <v>1544</v>
      </c>
      <c r="E304" s="8" t="s">
        <v>1545</v>
      </c>
      <c r="F304" s="8" t="s">
        <v>1546</v>
      </c>
      <c r="G304" s="8" t="s">
        <v>42</v>
      </c>
      <c r="H304" s="8" t="s">
        <v>43</v>
      </c>
      <c r="I304" s="9" t="s">
        <v>21</v>
      </c>
      <c r="J304" s="8" t="s">
        <v>22</v>
      </c>
      <c r="K304" s="9" t="s">
        <v>31</v>
      </c>
      <c r="L304" s="8" t="s">
        <v>1547</v>
      </c>
      <c r="M304" s="8" t="s">
        <v>45</v>
      </c>
      <c r="N304" s="10" t="n">
        <v>8.5</v>
      </c>
    </row>
    <row r="306" customFormat="false" ht="15" hidden="false" customHeight="false" outlineLevel="0" collapsed="false">
      <c r="B306" s="16" t="s">
        <v>1548</v>
      </c>
    </row>
  </sheetData>
  <autoFilter ref="B4:N304"/>
  <mergeCells count="1">
    <mergeCell ref="B2:N2"/>
  </mergeCells>
  <conditionalFormatting sqref="N5:N304">
    <cfRule type="dataBar" priority="2">
      <dataBar showValue="1" minLength="10" maxLength="90">
        <cfvo type="num" val="0"/>
        <cfvo type="num" val="10"/>
        <color rgb="FF1B2A4A"/>
      </dataBar>
      <extLst>
        <ext xmlns:x14="http://schemas.microsoft.com/office/spreadsheetml/2009/9/main" uri="{B025F937-C7B1-47D3-B67F-A62EFF666E3E}">
          <x14:id>{E010868C-605D-449F-99FF-F7E7A06A1E84}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010868C-605D-449F-99FF-F7E7A06A1E84}">
            <x14:dataBar minLength="10" maxLength="90" axisPosition="none" gradient="true">
              <x14:cfvo type="num">
                <xm:f>0</xm:f>
              </x14:cfvo>
              <x14:cfvo type="num">
                <xm:f>10</xm:f>
              </x14:cfvo>
              <x14:negativeFillColor rgb="FF1B2A4A"/>
              <x14:axisColor rgb="FF000000"/>
            </x14:dataBar>
          </x14:cfRule>
          <xm:sqref>N5:N304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4" min="4" style="1" width="26"/>
    <col collapsed="false" customWidth="true" hidden="false" outlineLevel="0" max="5" min="5" style="1" width="28"/>
    <col collapsed="false" customWidth="true" hidden="false" outlineLevel="0" max="6" min="6" style="1" width="11"/>
    <col collapsed="false" customWidth="true" hidden="false" outlineLevel="0" max="8" min="7" style="1" width="13"/>
    <col collapsed="false" customWidth="true" hidden="false" outlineLevel="0" max="9" min="9" style="1" width="10"/>
    <col collapsed="false" customWidth="true" hidden="false" outlineLevel="0" max="10" min="10" style="1" width="60"/>
  </cols>
  <sheetData>
    <row r="2" customFormat="false" ht="31.5" hidden="false" customHeight="true" outlineLevel="0" collapsed="false">
      <c r="B2" s="2" t="s">
        <v>1549</v>
      </c>
      <c r="C2" s="2"/>
      <c r="D2" s="2"/>
      <c r="E2" s="2"/>
      <c r="F2" s="2"/>
      <c r="G2" s="2"/>
      <c r="H2" s="2"/>
      <c r="I2" s="2"/>
      <c r="J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1550</v>
      </c>
      <c r="C4" s="3" t="s">
        <v>1551</v>
      </c>
      <c r="D4" s="3" t="s">
        <v>3</v>
      </c>
      <c r="E4" s="3" t="s">
        <v>2</v>
      </c>
      <c r="F4" s="3" t="s">
        <v>1552</v>
      </c>
      <c r="G4" s="3" t="s">
        <v>9</v>
      </c>
      <c r="H4" s="3" t="s">
        <v>10</v>
      </c>
      <c r="I4" s="3" t="s">
        <v>13</v>
      </c>
      <c r="J4" s="3" t="s">
        <v>1553</v>
      </c>
    </row>
    <row r="5" customFormat="false" ht="43.5" hidden="false" customHeight="true" outlineLevel="0" collapsed="false">
      <c r="B5" s="4" t="n">
        <v>1</v>
      </c>
      <c r="C5" s="4" t="s">
        <v>26</v>
      </c>
      <c r="D5" s="4" t="s">
        <v>27</v>
      </c>
      <c r="E5" s="4" t="s">
        <v>15</v>
      </c>
      <c r="F5" s="4" t="s">
        <v>25</v>
      </c>
      <c r="G5" s="4" t="s">
        <v>30</v>
      </c>
      <c r="H5" s="5" t="s">
        <v>31</v>
      </c>
      <c r="I5" s="7" t="n">
        <v>9.5</v>
      </c>
      <c r="J5" s="4" t="s">
        <v>1554</v>
      </c>
    </row>
    <row r="6" customFormat="false" ht="43.5" hidden="false" customHeight="true" outlineLevel="0" collapsed="false">
      <c r="B6" s="8" t="n">
        <v>2</v>
      </c>
      <c r="C6" s="8" t="s">
        <v>67</v>
      </c>
      <c r="D6" s="8" t="s">
        <v>68</v>
      </c>
      <c r="E6" s="8" t="s">
        <v>15</v>
      </c>
      <c r="F6" s="8" t="s">
        <v>25</v>
      </c>
      <c r="G6" s="8" t="s">
        <v>22</v>
      </c>
      <c r="H6" s="11" t="s">
        <v>23</v>
      </c>
      <c r="I6" s="10" t="n">
        <v>9</v>
      </c>
      <c r="J6" s="8" t="s">
        <v>1555</v>
      </c>
    </row>
    <row r="7" customFormat="false" ht="43.5" hidden="false" customHeight="true" outlineLevel="0" collapsed="false">
      <c r="B7" s="4" t="n">
        <v>3</v>
      </c>
      <c r="C7" s="4" t="s">
        <v>333</v>
      </c>
      <c r="D7" s="4" t="s">
        <v>335</v>
      </c>
      <c r="E7" s="4" t="s">
        <v>334</v>
      </c>
      <c r="F7" s="4" t="s">
        <v>339</v>
      </c>
      <c r="G7" s="4" t="s">
        <v>30</v>
      </c>
      <c r="H7" s="6" t="s">
        <v>23</v>
      </c>
      <c r="I7" s="7" t="n">
        <v>9.5</v>
      </c>
      <c r="J7" s="4" t="s">
        <v>1556</v>
      </c>
    </row>
    <row r="8" customFormat="false" ht="43.5" hidden="false" customHeight="true" outlineLevel="0" collapsed="false">
      <c r="B8" s="8" t="n">
        <v>4</v>
      </c>
      <c r="C8" s="8" t="s">
        <v>598</v>
      </c>
      <c r="D8" s="8" t="s">
        <v>599</v>
      </c>
      <c r="E8" s="8" t="s">
        <v>538</v>
      </c>
      <c r="F8" s="8" t="s">
        <v>25</v>
      </c>
      <c r="G8" s="8" t="s">
        <v>30</v>
      </c>
      <c r="H8" s="9" t="s">
        <v>31</v>
      </c>
      <c r="I8" s="10" t="n">
        <v>8.5</v>
      </c>
      <c r="J8" s="8" t="s">
        <v>1557</v>
      </c>
    </row>
    <row r="9" customFormat="false" ht="43.5" hidden="false" customHeight="true" outlineLevel="0" collapsed="false">
      <c r="B9" s="4" t="n">
        <v>5</v>
      </c>
      <c r="C9" s="4" t="s">
        <v>638</v>
      </c>
      <c r="D9" s="4" t="s">
        <v>640</v>
      </c>
      <c r="E9" s="4" t="s">
        <v>639</v>
      </c>
      <c r="F9" s="4" t="s">
        <v>25</v>
      </c>
      <c r="G9" s="4" t="s">
        <v>30</v>
      </c>
      <c r="H9" s="6" t="s">
        <v>23</v>
      </c>
      <c r="I9" s="7" t="n">
        <v>9</v>
      </c>
      <c r="J9" s="4" t="s">
        <v>1558</v>
      </c>
    </row>
    <row r="10" customFormat="false" ht="43.5" hidden="false" customHeight="true" outlineLevel="0" collapsed="false">
      <c r="B10" s="8" t="n">
        <v>6</v>
      </c>
      <c r="C10" s="8" t="s">
        <v>436</v>
      </c>
      <c r="D10" s="8" t="s">
        <v>438</v>
      </c>
      <c r="E10" s="8" t="s">
        <v>437</v>
      </c>
      <c r="F10" s="8" t="s">
        <v>25</v>
      </c>
      <c r="G10" s="8" t="s">
        <v>30</v>
      </c>
      <c r="H10" s="11" t="s">
        <v>23</v>
      </c>
      <c r="I10" s="10" t="n">
        <v>9</v>
      </c>
      <c r="J10" s="8" t="s">
        <v>1559</v>
      </c>
    </row>
    <row r="11" customFormat="false" ht="43.5" hidden="false" customHeight="true" outlineLevel="0" collapsed="false">
      <c r="B11" s="4" t="n">
        <v>7</v>
      </c>
      <c r="C11" s="4" t="s">
        <v>452</v>
      </c>
      <c r="D11" s="4" t="s">
        <v>453</v>
      </c>
      <c r="E11" s="4" t="s">
        <v>437</v>
      </c>
      <c r="F11" s="4" t="s">
        <v>25</v>
      </c>
      <c r="G11" s="4" t="s">
        <v>30</v>
      </c>
      <c r="H11" s="5" t="s">
        <v>31</v>
      </c>
      <c r="I11" s="7" t="n">
        <v>9</v>
      </c>
      <c r="J11" s="4" t="s">
        <v>1560</v>
      </c>
    </row>
    <row r="12" customFormat="false" ht="43.5" hidden="false" customHeight="true" outlineLevel="0" collapsed="false">
      <c r="B12" s="8" t="n">
        <v>8</v>
      </c>
      <c r="C12" s="8" t="s">
        <v>517</v>
      </c>
      <c r="D12" s="8" t="s">
        <v>518</v>
      </c>
      <c r="E12" s="8" t="s">
        <v>437</v>
      </c>
      <c r="F12" s="8" t="s">
        <v>25</v>
      </c>
      <c r="G12" s="8" t="s">
        <v>22</v>
      </c>
      <c r="H12" s="9" t="s">
        <v>31</v>
      </c>
      <c r="I12" s="10" t="n">
        <v>9</v>
      </c>
      <c r="J12" s="8" t="s">
        <v>1561</v>
      </c>
    </row>
    <row r="13" customFormat="false" ht="43.5" hidden="false" customHeight="true" outlineLevel="0" collapsed="false">
      <c r="B13" s="4" t="n">
        <v>9</v>
      </c>
      <c r="C13" s="4" t="s">
        <v>1088</v>
      </c>
      <c r="D13" s="4" t="s">
        <v>1089</v>
      </c>
      <c r="E13" s="4" t="s">
        <v>1043</v>
      </c>
      <c r="F13" s="4" t="s">
        <v>1093</v>
      </c>
      <c r="G13" s="4" t="s">
        <v>30</v>
      </c>
      <c r="H13" s="6" t="s">
        <v>23</v>
      </c>
      <c r="I13" s="7" t="n">
        <v>9</v>
      </c>
      <c r="J13" s="4" t="s">
        <v>1562</v>
      </c>
    </row>
    <row r="14" customFormat="false" ht="43.5" hidden="false" customHeight="true" outlineLevel="0" collapsed="false">
      <c r="B14" s="8" t="n">
        <v>10</v>
      </c>
      <c r="C14" s="8" t="s">
        <v>568</v>
      </c>
      <c r="D14" s="8" t="s">
        <v>569</v>
      </c>
      <c r="E14" s="8" t="s">
        <v>538</v>
      </c>
      <c r="F14" s="8" t="s">
        <v>25</v>
      </c>
      <c r="G14" s="8" t="s">
        <v>30</v>
      </c>
      <c r="H14" s="11" t="s">
        <v>23</v>
      </c>
      <c r="I14" s="10" t="n">
        <v>9</v>
      </c>
      <c r="J14" s="8" t="s">
        <v>1563</v>
      </c>
    </row>
    <row r="16" customFormat="false" ht="15" hidden="false" customHeight="false" outlineLevel="0" collapsed="false">
      <c r="B16" s="16" t="s">
        <v>1564</v>
      </c>
    </row>
  </sheetData>
  <mergeCells count="1">
    <mergeCell ref="B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9" min="2" style="1" width="34"/>
  </cols>
  <sheetData>
    <row r="2" customFormat="false" ht="31.5" hidden="false" customHeight="true" outlineLevel="0" collapsed="false">
      <c r="B2" s="2" t="s">
        <v>1565</v>
      </c>
      <c r="C2" s="2"/>
      <c r="D2" s="2"/>
      <c r="E2" s="2"/>
      <c r="F2" s="2"/>
      <c r="G2" s="2"/>
      <c r="H2" s="2"/>
      <c r="I2" s="2"/>
    </row>
    <row r="3" customFormat="false" ht="7.5" hidden="false" customHeight="true" outlineLevel="0" collapsed="false"/>
    <row r="4" customFormat="false" ht="27.75" hidden="false" customHeight="true" outlineLevel="0" collapsed="false">
      <c r="B4" s="3" t="s">
        <v>2</v>
      </c>
      <c r="C4" s="3" t="s">
        <v>1566</v>
      </c>
      <c r="D4" s="3" t="s">
        <v>20</v>
      </c>
      <c r="E4" s="3" t="s">
        <v>43</v>
      </c>
      <c r="F4" s="3" t="s">
        <v>1567</v>
      </c>
      <c r="G4" s="3" t="s">
        <v>1568</v>
      </c>
      <c r="H4" s="3" t="s">
        <v>31</v>
      </c>
      <c r="I4" s="3" t="s">
        <v>1569</v>
      </c>
    </row>
    <row r="5" customFormat="false" ht="21.75" hidden="false" customHeight="true" outlineLevel="0" collapsed="false">
      <c r="B5" s="17" t="s">
        <v>15</v>
      </c>
      <c r="C5" s="18" t="n">
        <f aca="false">COUNTIF('Use Case Catalog'!$C$5:$C$304,$B5)</f>
        <v>20</v>
      </c>
      <c r="D5" s="18" t="n">
        <f aca="false">COUNTIFS('Use Case Catalog'!$C$5:$C$304,$B5,'Use Case Catalog'!$H$5:$H$304,"External")</f>
        <v>9</v>
      </c>
      <c r="E5" s="18" t="n">
        <f aca="false">COUNTIFS('Use Case Catalog'!$C$5:$C$304,$B5,'Use Case Catalog'!$H$5:$H$304,"Internal")</f>
        <v>11</v>
      </c>
      <c r="F5" s="18" t="n">
        <f aca="false">COUNTIFS('Use Case Catalog'!$C$5:$C$304,$B5,'Use Case Catalog'!$I$5:$I$304,"High")</f>
        <v>14</v>
      </c>
      <c r="G5" s="18" t="n">
        <f aca="false">COUNTIFS('Use Case Catalog'!$C$5:$C$304,$B5,'Use Case Catalog'!$J$5:$J$304,"Easy")</f>
        <v>8</v>
      </c>
      <c r="H5" s="18" t="n">
        <f aca="false">COUNTIFS('Use Case Catalog'!$C$5:$C$304,$B5,'Use Case Catalog'!$K$5:$K$304,"White Space")</f>
        <v>8</v>
      </c>
      <c r="I5" s="19" t="n">
        <f aca="false">ROUND(AVERAGEIF('Use Case Catalog'!$C$5:$C$304,$B5,'Use Case Catalog'!$N$5:$N$304),1)</f>
        <v>8.2</v>
      </c>
    </row>
    <row r="6" customFormat="false" ht="21.75" hidden="false" customHeight="true" outlineLevel="0" collapsed="false">
      <c r="B6" s="20" t="s">
        <v>131</v>
      </c>
      <c r="C6" s="21" t="n">
        <f aca="false">COUNTIF('Use Case Catalog'!$C$5:$C$304,$B6)</f>
        <v>20</v>
      </c>
      <c r="D6" s="21" t="n">
        <f aca="false">COUNTIFS('Use Case Catalog'!$C$5:$C$304,$B6,'Use Case Catalog'!$H$5:$H$304,"External")</f>
        <v>8</v>
      </c>
      <c r="E6" s="21" t="n">
        <f aca="false">COUNTIFS('Use Case Catalog'!$C$5:$C$304,$B6,'Use Case Catalog'!$H$5:$H$304,"Internal")</f>
        <v>12</v>
      </c>
      <c r="F6" s="21" t="n">
        <f aca="false">COUNTIFS('Use Case Catalog'!$C$5:$C$304,$B6,'Use Case Catalog'!$I$5:$I$304,"High")</f>
        <v>11</v>
      </c>
      <c r="G6" s="21" t="n">
        <f aca="false">COUNTIFS('Use Case Catalog'!$C$5:$C$304,$B6,'Use Case Catalog'!$J$5:$J$304,"Easy")</f>
        <v>5</v>
      </c>
      <c r="H6" s="21" t="n">
        <f aca="false">COUNTIFS('Use Case Catalog'!$C$5:$C$304,$B6,'Use Case Catalog'!$K$5:$K$304,"White Space")</f>
        <v>4</v>
      </c>
      <c r="I6" s="22" t="n">
        <f aca="false">ROUND(AVERAGEIF('Use Case Catalog'!$C$5:$C$304,$B6,'Use Case Catalog'!$N$5:$N$304),1)</f>
        <v>7.9</v>
      </c>
    </row>
    <row r="7" customFormat="false" ht="21.75" hidden="false" customHeight="true" outlineLevel="0" collapsed="false">
      <c r="B7" s="17" t="s">
        <v>233</v>
      </c>
      <c r="C7" s="18" t="n">
        <f aca="false">COUNTIF('Use Case Catalog'!$C$5:$C$304,$B7)</f>
        <v>20</v>
      </c>
      <c r="D7" s="18" t="n">
        <f aca="false">COUNTIFS('Use Case Catalog'!$C$5:$C$304,$B7,'Use Case Catalog'!$H$5:$H$304,"External")</f>
        <v>1</v>
      </c>
      <c r="E7" s="18" t="n">
        <f aca="false">COUNTIFS('Use Case Catalog'!$C$5:$C$304,$B7,'Use Case Catalog'!$H$5:$H$304,"Internal")</f>
        <v>19</v>
      </c>
      <c r="F7" s="18" t="n">
        <f aca="false">COUNTIFS('Use Case Catalog'!$C$5:$C$304,$B7,'Use Case Catalog'!$I$5:$I$304,"High")</f>
        <v>10</v>
      </c>
      <c r="G7" s="18" t="n">
        <f aca="false">COUNTIFS('Use Case Catalog'!$C$5:$C$304,$B7,'Use Case Catalog'!$J$5:$J$304,"Easy")</f>
        <v>8</v>
      </c>
      <c r="H7" s="18" t="n">
        <f aca="false">COUNTIFS('Use Case Catalog'!$C$5:$C$304,$B7,'Use Case Catalog'!$K$5:$K$304,"White Space")</f>
        <v>10</v>
      </c>
      <c r="I7" s="19" t="n">
        <f aca="false">ROUND(AVERAGEIF('Use Case Catalog'!$C$5:$C$304,$B7,'Use Case Catalog'!$N$5:$N$304),1)</f>
        <v>7.8</v>
      </c>
    </row>
    <row r="8" customFormat="false" ht="21.75" hidden="false" customHeight="true" outlineLevel="0" collapsed="false">
      <c r="B8" s="20" t="s">
        <v>334</v>
      </c>
      <c r="C8" s="21" t="n">
        <f aca="false">COUNTIF('Use Case Catalog'!$C$5:$C$304,$B8)</f>
        <v>20</v>
      </c>
      <c r="D8" s="21" t="n">
        <f aca="false">COUNTIFS('Use Case Catalog'!$C$5:$C$304,$B8,'Use Case Catalog'!$H$5:$H$304,"External")</f>
        <v>11</v>
      </c>
      <c r="E8" s="21" t="n">
        <f aca="false">COUNTIFS('Use Case Catalog'!$C$5:$C$304,$B8,'Use Case Catalog'!$H$5:$H$304,"Internal")</f>
        <v>9</v>
      </c>
      <c r="F8" s="21" t="n">
        <f aca="false">COUNTIFS('Use Case Catalog'!$C$5:$C$304,$B8,'Use Case Catalog'!$I$5:$I$304,"High")</f>
        <v>11</v>
      </c>
      <c r="G8" s="21" t="n">
        <f aca="false">COUNTIFS('Use Case Catalog'!$C$5:$C$304,$B8,'Use Case Catalog'!$J$5:$J$304,"Easy")</f>
        <v>10</v>
      </c>
      <c r="H8" s="21" t="n">
        <f aca="false">COUNTIFS('Use Case Catalog'!$C$5:$C$304,$B8,'Use Case Catalog'!$K$5:$K$304,"White Space")</f>
        <v>6</v>
      </c>
      <c r="I8" s="22" t="n">
        <f aca="false">ROUND(AVERAGEIF('Use Case Catalog'!$C$5:$C$304,$B8,'Use Case Catalog'!$N$5:$N$304),1)</f>
        <v>8.2</v>
      </c>
    </row>
    <row r="9" customFormat="false" ht="21.75" hidden="false" customHeight="true" outlineLevel="0" collapsed="false">
      <c r="B9" s="17" t="s">
        <v>437</v>
      </c>
      <c r="C9" s="18" t="n">
        <f aca="false">COUNTIF('Use Case Catalog'!$C$5:$C$304,$B9)</f>
        <v>20</v>
      </c>
      <c r="D9" s="18" t="n">
        <f aca="false">COUNTIFS('Use Case Catalog'!$C$5:$C$304,$B9,'Use Case Catalog'!$H$5:$H$304,"External")</f>
        <v>13</v>
      </c>
      <c r="E9" s="18" t="n">
        <f aca="false">COUNTIFS('Use Case Catalog'!$C$5:$C$304,$B9,'Use Case Catalog'!$H$5:$H$304,"Internal")</f>
        <v>7</v>
      </c>
      <c r="F9" s="18" t="n">
        <f aca="false">COUNTIFS('Use Case Catalog'!$C$5:$C$304,$B9,'Use Case Catalog'!$I$5:$I$304,"High")</f>
        <v>13</v>
      </c>
      <c r="G9" s="18" t="n">
        <f aca="false">COUNTIFS('Use Case Catalog'!$C$5:$C$304,$B9,'Use Case Catalog'!$J$5:$J$304,"Easy")</f>
        <v>10</v>
      </c>
      <c r="H9" s="18" t="n">
        <f aca="false">COUNTIFS('Use Case Catalog'!$C$5:$C$304,$B9,'Use Case Catalog'!$K$5:$K$304,"White Space")</f>
        <v>8</v>
      </c>
      <c r="I9" s="19" t="n">
        <f aca="false">ROUND(AVERAGEIF('Use Case Catalog'!$C$5:$C$304,$B9,'Use Case Catalog'!$N$5:$N$304),1)</f>
        <v>8.2</v>
      </c>
    </row>
    <row r="10" customFormat="false" ht="21.75" hidden="false" customHeight="true" outlineLevel="0" collapsed="false">
      <c r="B10" s="20" t="s">
        <v>538</v>
      </c>
      <c r="C10" s="21" t="n">
        <f aca="false">COUNTIF('Use Case Catalog'!$C$5:$C$304,$B10)</f>
        <v>20</v>
      </c>
      <c r="D10" s="21" t="n">
        <f aca="false">COUNTIFS('Use Case Catalog'!$C$5:$C$304,$B10,'Use Case Catalog'!$H$5:$H$304,"External")</f>
        <v>19</v>
      </c>
      <c r="E10" s="21" t="n">
        <f aca="false">COUNTIFS('Use Case Catalog'!$C$5:$C$304,$B10,'Use Case Catalog'!$H$5:$H$304,"Internal")</f>
        <v>1</v>
      </c>
      <c r="F10" s="21" t="n">
        <f aca="false">COUNTIFS('Use Case Catalog'!$C$5:$C$304,$B10,'Use Case Catalog'!$I$5:$I$304,"High")</f>
        <v>6</v>
      </c>
      <c r="G10" s="21" t="n">
        <f aca="false">COUNTIFS('Use Case Catalog'!$C$5:$C$304,$B10,'Use Case Catalog'!$J$5:$J$304,"Easy")</f>
        <v>17</v>
      </c>
      <c r="H10" s="21" t="n">
        <f aca="false">COUNTIFS('Use Case Catalog'!$C$5:$C$304,$B10,'Use Case Catalog'!$K$5:$K$304,"White Space")</f>
        <v>2</v>
      </c>
      <c r="I10" s="22" t="n">
        <f aca="false">ROUND(AVERAGEIF('Use Case Catalog'!$C$5:$C$304,$B10,'Use Case Catalog'!$N$5:$N$304),1)</f>
        <v>8.3</v>
      </c>
    </row>
    <row r="11" customFormat="false" ht="21.75" hidden="false" customHeight="true" outlineLevel="0" collapsed="false">
      <c r="B11" s="17" t="s">
        <v>639</v>
      </c>
      <c r="C11" s="18" t="n">
        <f aca="false">COUNTIF('Use Case Catalog'!$C$5:$C$304,$B11)</f>
        <v>20</v>
      </c>
      <c r="D11" s="18" t="n">
        <f aca="false">COUNTIFS('Use Case Catalog'!$C$5:$C$304,$B11,'Use Case Catalog'!$H$5:$H$304,"External")</f>
        <v>20</v>
      </c>
      <c r="E11" s="18" t="n">
        <f aca="false">COUNTIFS('Use Case Catalog'!$C$5:$C$304,$B11,'Use Case Catalog'!$H$5:$H$304,"Internal")</f>
        <v>0</v>
      </c>
      <c r="F11" s="18" t="n">
        <f aca="false">COUNTIFS('Use Case Catalog'!$C$5:$C$304,$B11,'Use Case Catalog'!$I$5:$I$304,"High")</f>
        <v>7</v>
      </c>
      <c r="G11" s="18" t="n">
        <f aca="false">COUNTIFS('Use Case Catalog'!$C$5:$C$304,$B11,'Use Case Catalog'!$J$5:$J$304,"Easy")</f>
        <v>11</v>
      </c>
      <c r="H11" s="18" t="n">
        <f aca="false">COUNTIFS('Use Case Catalog'!$C$5:$C$304,$B11,'Use Case Catalog'!$K$5:$K$304,"White Space")</f>
        <v>10</v>
      </c>
      <c r="I11" s="19" t="n">
        <f aca="false">ROUND(AVERAGEIF('Use Case Catalog'!$C$5:$C$304,$B11,'Use Case Catalog'!$N$5:$N$304),1)</f>
        <v>8</v>
      </c>
    </row>
    <row r="12" customFormat="false" ht="21.75" hidden="false" customHeight="true" outlineLevel="0" collapsed="false">
      <c r="B12" s="20" t="s">
        <v>740</v>
      </c>
      <c r="C12" s="21" t="n">
        <f aca="false">COUNTIF('Use Case Catalog'!$C$5:$C$304,$B12)</f>
        <v>20</v>
      </c>
      <c r="D12" s="21" t="n">
        <f aca="false">COUNTIFS('Use Case Catalog'!$C$5:$C$304,$B12,'Use Case Catalog'!$H$5:$H$304,"External")</f>
        <v>17</v>
      </c>
      <c r="E12" s="21" t="n">
        <f aca="false">COUNTIFS('Use Case Catalog'!$C$5:$C$304,$B12,'Use Case Catalog'!$H$5:$H$304,"Internal")</f>
        <v>3</v>
      </c>
      <c r="F12" s="21" t="n">
        <f aca="false">COUNTIFS('Use Case Catalog'!$C$5:$C$304,$B12,'Use Case Catalog'!$I$5:$I$304,"High")</f>
        <v>6</v>
      </c>
      <c r="G12" s="21" t="n">
        <f aca="false">COUNTIFS('Use Case Catalog'!$C$5:$C$304,$B12,'Use Case Catalog'!$J$5:$J$304,"Easy")</f>
        <v>14</v>
      </c>
      <c r="H12" s="21" t="n">
        <f aca="false">COUNTIFS('Use Case Catalog'!$C$5:$C$304,$B12,'Use Case Catalog'!$K$5:$K$304,"White Space")</f>
        <v>10</v>
      </c>
      <c r="I12" s="22" t="n">
        <f aca="false">ROUND(AVERAGEIF('Use Case Catalog'!$C$5:$C$304,$B12,'Use Case Catalog'!$N$5:$N$304),1)</f>
        <v>8</v>
      </c>
    </row>
    <row r="13" customFormat="false" ht="21.75" hidden="false" customHeight="true" outlineLevel="0" collapsed="false">
      <c r="B13" s="17" t="s">
        <v>841</v>
      </c>
      <c r="C13" s="18" t="n">
        <f aca="false">COUNTIF('Use Case Catalog'!$C$5:$C$304,$B13)</f>
        <v>20</v>
      </c>
      <c r="D13" s="18" t="n">
        <f aca="false">COUNTIFS('Use Case Catalog'!$C$5:$C$304,$B13,'Use Case Catalog'!$H$5:$H$304,"External")</f>
        <v>4</v>
      </c>
      <c r="E13" s="18" t="n">
        <f aca="false">COUNTIFS('Use Case Catalog'!$C$5:$C$304,$B13,'Use Case Catalog'!$H$5:$H$304,"Internal")</f>
        <v>16</v>
      </c>
      <c r="F13" s="18" t="n">
        <f aca="false">COUNTIFS('Use Case Catalog'!$C$5:$C$304,$B13,'Use Case Catalog'!$I$5:$I$304,"High")</f>
        <v>11</v>
      </c>
      <c r="G13" s="18" t="n">
        <f aca="false">COUNTIFS('Use Case Catalog'!$C$5:$C$304,$B13,'Use Case Catalog'!$J$5:$J$304,"Easy")</f>
        <v>5</v>
      </c>
      <c r="H13" s="18" t="n">
        <f aca="false">COUNTIFS('Use Case Catalog'!$C$5:$C$304,$B13,'Use Case Catalog'!$K$5:$K$304,"White Space")</f>
        <v>7</v>
      </c>
      <c r="I13" s="19" t="n">
        <f aca="false">ROUND(AVERAGEIF('Use Case Catalog'!$C$5:$C$304,$B13,'Use Case Catalog'!$N$5:$N$304),1)</f>
        <v>7.5</v>
      </c>
    </row>
    <row r="14" customFormat="false" ht="21.75" hidden="false" customHeight="true" outlineLevel="0" collapsed="false">
      <c r="B14" s="20" t="s">
        <v>942</v>
      </c>
      <c r="C14" s="21" t="n">
        <f aca="false">COUNTIF('Use Case Catalog'!$C$5:$C$304,$B14)</f>
        <v>20</v>
      </c>
      <c r="D14" s="21" t="n">
        <f aca="false">COUNTIFS('Use Case Catalog'!$C$5:$C$304,$B14,'Use Case Catalog'!$H$5:$H$304,"External")</f>
        <v>4</v>
      </c>
      <c r="E14" s="21" t="n">
        <f aca="false">COUNTIFS('Use Case Catalog'!$C$5:$C$304,$B14,'Use Case Catalog'!$H$5:$H$304,"Internal")</f>
        <v>16</v>
      </c>
      <c r="F14" s="21" t="n">
        <f aca="false">COUNTIFS('Use Case Catalog'!$C$5:$C$304,$B14,'Use Case Catalog'!$I$5:$I$304,"High")</f>
        <v>7</v>
      </c>
      <c r="G14" s="21" t="n">
        <f aca="false">COUNTIFS('Use Case Catalog'!$C$5:$C$304,$B14,'Use Case Catalog'!$J$5:$J$304,"Easy")</f>
        <v>11</v>
      </c>
      <c r="H14" s="21" t="n">
        <f aca="false">COUNTIFS('Use Case Catalog'!$C$5:$C$304,$B14,'Use Case Catalog'!$K$5:$K$304,"White Space")</f>
        <v>6</v>
      </c>
      <c r="I14" s="22" t="n">
        <f aca="false">ROUND(AVERAGEIF('Use Case Catalog'!$C$5:$C$304,$B14,'Use Case Catalog'!$N$5:$N$304),1)</f>
        <v>7.3</v>
      </c>
    </row>
    <row r="15" customFormat="false" ht="21.75" hidden="false" customHeight="true" outlineLevel="0" collapsed="false">
      <c r="B15" s="17" t="s">
        <v>1043</v>
      </c>
      <c r="C15" s="18" t="n">
        <f aca="false">COUNTIF('Use Case Catalog'!$C$5:$C$304,$B15)</f>
        <v>20</v>
      </c>
      <c r="D15" s="18" t="n">
        <f aca="false">COUNTIFS('Use Case Catalog'!$C$5:$C$304,$B15,'Use Case Catalog'!$H$5:$H$304,"External")</f>
        <v>12</v>
      </c>
      <c r="E15" s="18" t="n">
        <f aca="false">COUNTIFS('Use Case Catalog'!$C$5:$C$304,$B15,'Use Case Catalog'!$H$5:$H$304,"Internal")</f>
        <v>8</v>
      </c>
      <c r="F15" s="18" t="n">
        <f aca="false">COUNTIFS('Use Case Catalog'!$C$5:$C$304,$B15,'Use Case Catalog'!$I$5:$I$304,"High")</f>
        <v>12</v>
      </c>
      <c r="G15" s="18" t="n">
        <f aca="false">COUNTIFS('Use Case Catalog'!$C$5:$C$304,$B15,'Use Case Catalog'!$J$5:$J$304,"Easy")</f>
        <v>13</v>
      </c>
      <c r="H15" s="18" t="n">
        <f aca="false">COUNTIFS('Use Case Catalog'!$C$5:$C$304,$B15,'Use Case Catalog'!$K$5:$K$304,"White Space")</f>
        <v>6</v>
      </c>
      <c r="I15" s="19" t="n">
        <f aca="false">ROUND(AVERAGEIF('Use Case Catalog'!$C$5:$C$304,$B15,'Use Case Catalog'!$N$5:$N$304),1)</f>
        <v>8.1</v>
      </c>
    </row>
    <row r="16" customFormat="false" ht="21.75" hidden="false" customHeight="true" outlineLevel="0" collapsed="false">
      <c r="B16" s="20" t="s">
        <v>1145</v>
      </c>
      <c r="C16" s="21" t="n">
        <f aca="false">COUNTIF('Use Case Catalog'!$C$5:$C$304,$B16)</f>
        <v>20</v>
      </c>
      <c r="D16" s="21" t="n">
        <f aca="false">COUNTIFS('Use Case Catalog'!$C$5:$C$304,$B16,'Use Case Catalog'!$H$5:$H$304,"External")</f>
        <v>6</v>
      </c>
      <c r="E16" s="21" t="n">
        <f aca="false">COUNTIFS('Use Case Catalog'!$C$5:$C$304,$B16,'Use Case Catalog'!$H$5:$H$304,"Internal")</f>
        <v>14</v>
      </c>
      <c r="F16" s="21" t="n">
        <f aca="false">COUNTIFS('Use Case Catalog'!$C$5:$C$304,$B16,'Use Case Catalog'!$I$5:$I$304,"High")</f>
        <v>9</v>
      </c>
      <c r="G16" s="21" t="n">
        <f aca="false">COUNTIFS('Use Case Catalog'!$C$5:$C$304,$B16,'Use Case Catalog'!$J$5:$J$304,"Easy")</f>
        <v>10</v>
      </c>
      <c r="H16" s="21" t="n">
        <f aca="false">COUNTIFS('Use Case Catalog'!$C$5:$C$304,$B16,'Use Case Catalog'!$K$5:$K$304,"White Space")</f>
        <v>4</v>
      </c>
      <c r="I16" s="22" t="n">
        <f aca="false">ROUND(AVERAGEIF('Use Case Catalog'!$C$5:$C$304,$B16,'Use Case Catalog'!$N$5:$N$304),1)</f>
        <v>7.9</v>
      </c>
    </row>
    <row r="17" customFormat="false" ht="21.75" hidden="false" customHeight="true" outlineLevel="0" collapsed="false">
      <c r="B17" s="17" t="s">
        <v>1246</v>
      </c>
      <c r="C17" s="18" t="n">
        <f aca="false">COUNTIF('Use Case Catalog'!$C$5:$C$304,$B17)</f>
        <v>20</v>
      </c>
      <c r="D17" s="18" t="n">
        <f aca="false">COUNTIFS('Use Case Catalog'!$C$5:$C$304,$B17,'Use Case Catalog'!$H$5:$H$304,"External")</f>
        <v>8</v>
      </c>
      <c r="E17" s="18" t="n">
        <f aca="false">COUNTIFS('Use Case Catalog'!$C$5:$C$304,$B17,'Use Case Catalog'!$H$5:$H$304,"Internal")</f>
        <v>12</v>
      </c>
      <c r="F17" s="18" t="n">
        <f aca="false">COUNTIFS('Use Case Catalog'!$C$5:$C$304,$B17,'Use Case Catalog'!$I$5:$I$304,"High")</f>
        <v>9</v>
      </c>
      <c r="G17" s="18" t="n">
        <f aca="false">COUNTIFS('Use Case Catalog'!$C$5:$C$304,$B17,'Use Case Catalog'!$J$5:$J$304,"Easy")</f>
        <v>7</v>
      </c>
      <c r="H17" s="18" t="n">
        <f aca="false">COUNTIFS('Use Case Catalog'!$C$5:$C$304,$B17,'Use Case Catalog'!$K$5:$K$304,"White Space")</f>
        <v>5</v>
      </c>
      <c r="I17" s="19" t="n">
        <f aca="false">ROUND(AVERAGEIF('Use Case Catalog'!$C$5:$C$304,$B17,'Use Case Catalog'!$N$5:$N$304),1)</f>
        <v>7.5</v>
      </c>
    </row>
    <row r="18" customFormat="false" ht="21.75" hidden="false" customHeight="true" outlineLevel="0" collapsed="false">
      <c r="B18" s="20" t="s">
        <v>1347</v>
      </c>
      <c r="C18" s="21" t="n">
        <f aca="false">COUNTIF('Use Case Catalog'!$C$5:$C$304,$B18)</f>
        <v>20</v>
      </c>
      <c r="D18" s="21" t="n">
        <f aca="false">COUNTIFS('Use Case Catalog'!$C$5:$C$304,$B18,'Use Case Catalog'!$H$5:$H$304,"External")</f>
        <v>0</v>
      </c>
      <c r="E18" s="21" t="n">
        <f aca="false">COUNTIFS('Use Case Catalog'!$C$5:$C$304,$B18,'Use Case Catalog'!$H$5:$H$304,"Internal")</f>
        <v>20</v>
      </c>
      <c r="F18" s="21" t="n">
        <f aca="false">COUNTIFS('Use Case Catalog'!$C$5:$C$304,$B18,'Use Case Catalog'!$I$5:$I$304,"High")</f>
        <v>4</v>
      </c>
      <c r="G18" s="21" t="n">
        <f aca="false">COUNTIFS('Use Case Catalog'!$C$5:$C$304,$B18,'Use Case Catalog'!$J$5:$J$304,"Easy")</f>
        <v>18</v>
      </c>
      <c r="H18" s="21" t="n">
        <f aca="false">COUNTIFS('Use Case Catalog'!$C$5:$C$304,$B18,'Use Case Catalog'!$K$5:$K$304,"White Space")</f>
        <v>0</v>
      </c>
      <c r="I18" s="22" t="n">
        <f aca="false">ROUND(AVERAGEIF('Use Case Catalog'!$C$5:$C$304,$B18,'Use Case Catalog'!$N$5:$N$304),1)</f>
        <v>7.5</v>
      </c>
    </row>
    <row r="19" customFormat="false" ht="21.75" hidden="false" customHeight="true" outlineLevel="0" collapsed="false">
      <c r="B19" s="17" t="s">
        <v>1448</v>
      </c>
      <c r="C19" s="18" t="n">
        <f aca="false">COUNTIF('Use Case Catalog'!$C$5:$C$304,$B19)</f>
        <v>20</v>
      </c>
      <c r="D19" s="18" t="n">
        <f aca="false">COUNTIFS('Use Case Catalog'!$C$5:$C$304,$B19,'Use Case Catalog'!$H$5:$H$304,"External")</f>
        <v>3</v>
      </c>
      <c r="E19" s="18" t="n">
        <f aca="false">COUNTIFS('Use Case Catalog'!$C$5:$C$304,$B19,'Use Case Catalog'!$H$5:$H$304,"Internal")</f>
        <v>17</v>
      </c>
      <c r="F19" s="18" t="n">
        <f aca="false">COUNTIFS('Use Case Catalog'!$C$5:$C$304,$B19,'Use Case Catalog'!$I$5:$I$304,"High")</f>
        <v>8</v>
      </c>
      <c r="G19" s="18" t="n">
        <f aca="false">COUNTIFS('Use Case Catalog'!$C$5:$C$304,$B19,'Use Case Catalog'!$J$5:$J$304,"Easy")</f>
        <v>10</v>
      </c>
      <c r="H19" s="18" t="n">
        <f aca="false">COUNTIFS('Use Case Catalog'!$C$5:$C$304,$B19,'Use Case Catalog'!$K$5:$K$304,"White Space")</f>
        <v>7</v>
      </c>
      <c r="I19" s="19" t="n">
        <f aca="false">ROUND(AVERAGEIF('Use Case Catalog'!$C$5:$C$304,$B19,'Use Case Catalog'!$N$5:$N$304),1)</f>
        <v>7.6</v>
      </c>
    </row>
    <row r="20" customFormat="false" ht="25.5" hidden="false" customHeight="true" outlineLevel="0" collapsed="false">
      <c r="B20" s="23" t="s">
        <v>1566</v>
      </c>
      <c r="C20" s="24" t="n">
        <f aca="false">SUM(C5:C19)</f>
        <v>300</v>
      </c>
      <c r="D20" s="24" t="n">
        <f aca="false">SUM(D5:D19)</f>
        <v>135</v>
      </c>
      <c r="E20" s="24" t="n">
        <f aca="false">SUM(E5:E19)</f>
        <v>165</v>
      </c>
      <c r="F20" s="24" t="n">
        <f aca="false">SUM(F5:F19)</f>
        <v>138</v>
      </c>
      <c r="G20" s="24" t="n">
        <f aca="false">SUM(G5:G19)</f>
        <v>157</v>
      </c>
      <c r="H20" s="24" t="n">
        <f aca="false">SUM(H5:H19)</f>
        <v>93</v>
      </c>
      <c r="I20" s="25" t="n">
        <f aca="false">ROUND(AVERAGE('Use Case Catalog'!$N$5:$N$304),1)</f>
        <v>7.9</v>
      </c>
    </row>
    <row r="22" customFormat="false" ht="15" hidden="false" customHeight="false" outlineLevel="0" collapsed="false">
      <c r="B22" s="16" t="s">
        <v>1570</v>
      </c>
    </row>
  </sheetData>
  <mergeCells count="1">
    <mergeCell ref="B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2026-10-28T04:19:59Z</dcterms:created>
  <dc:creator>Z.ai</dc:creator>
  <dc:description/>
  <dc:language>en-US</dc:language>
  <cp:lastModifiedBy/>
  <dcterms:modified xsi:type="dcterms:W3CDTF">2026-10-28T04:19:59Z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