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 Case Catalog" sheetId="1" state="visible" r:id="rId3"/>
    <sheet name="Top 10 Picks" sheetId="2" state="visible" r:id="rId4"/>
    <sheet name="Domain Summary" sheetId="3" state="visible" r:id="rId5"/>
  </sheets>
  <definedNames>
    <definedName function="false" hidden="true" localSheetId="0" name="_xlnm._FilterDatabase" vbProcedure="false">'Use Case Catalog'!$B$4:$J$304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<sst xmlns="http://schemas.openxmlformats.org/spreadsheetml/2006/main" count="2804" uniqueCount="963">
  <si>
    <t xml:space="preserve">Dubai Police 2040 — Agentic AI Use Case Catalog (300 Use Cases)</t>
  </si>
  <si>
    <t xml:space="preserve">ID</t>
  </si>
  <si>
    <t xml:space="preserve">Mission Domain</t>
  </si>
  <si>
    <t xml:space="preserve">Use Case</t>
  </si>
  <si>
    <t xml:space="preserve">What the Agent Does</t>
  </si>
  <si>
    <t xml:space="preserve">Agent Pattern</t>
  </si>
  <si>
    <t xml:space="preserve">Audience</t>
  </si>
  <si>
    <t xml:space="preserve">Impact</t>
  </si>
  <si>
    <t xml:space="preserve">Prototype Feasibility</t>
  </si>
  <si>
    <t xml:space="preserve">Championship Category</t>
  </si>
  <si>
    <t xml:space="preserve">D01-01</t>
  </si>
  <si>
    <t xml:space="preserve">Emergency Communications &amp; Dispatch (999/901)</t>
  </si>
  <si>
    <t xml:space="preserve">Multilingual 999 triage agent</t>
  </si>
  <si>
    <t xml:space="preserve">Detects caller language, classifies urgency, pre-briefs dispatcher before human pick-up</t>
  </si>
  <si>
    <t xml:space="preserve">Triager</t>
  </si>
  <si>
    <t xml:space="preserve">External</t>
  </si>
  <si>
    <t xml:space="preserve">High</t>
  </si>
  <si>
    <t xml:space="preserve">Medium</t>
  </si>
  <si>
    <t xml:space="preserve">Societal</t>
  </si>
  <si>
    <t xml:space="preserve">D01-02</t>
  </si>
  <si>
    <t xml:space="preserve">Silent SOS chat agent</t>
  </si>
  <si>
    <t xml:space="preserve">Chat-based emergency reporting for hostage or domestic-violence situations where voice is unsafe</t>
  </si>
  <si>
    <t xml:space="preserve">Easy</t>
  </si>
  <si>
    <t xml:space="preserve">D01-03</t>
  </si>
  <si>
    <t xml:space="preserve">Sign-language &amp; text-999 agent</t>
  </si>
  <si>
    <t xml:space="preserve">Emergency access for deaf and hard-of-hearing residents with live relay support</t>
  </si>
  <si>
    <t xml:space="preserve">D01-04</t>
  </si>
  <si>
    <t xml:space="preserve">Caller-location &amp; nearest-unit agent</t>
  </si>
  <si>
    <t xml:space="preserve">Fuses GPS, camera zones and unit positions to recommend the fastest responder</t>
  </si>
  <si>
    <t xml:space="preserve">Analyzer</t>
  </si>
  <si>
    <t xml:space="preserve">Internal</t>
  </si>
  <si>
    <t xml:space="preserve">Business</t>
  </si>
  <si>
    <t xml:space="preserve">D01-05</t>
  </si>
  <si>
    <t xml:space="preserve">Call-surge orchestrator</t>
  </si>
  <si>
    <t xml:space="preserve">Spawns triage sub-agents when call volume spikes during major city incidents</t>
  </si>
  <si>
    <t xml:space="preserve">Multi-agent Swarm</t>
  </si>
  <si>
    <t xml:space="preserve">D01-06</t>
  </si>
  <si>
    <t xml:space="preserve">Post-incident follow-up agent</t>
  </si>
  <si>
    <t xml:space="preserve">Contacts victims after 48 hours, checks welfare and logs satisfaction</t>
  </si>
  <si>
    <t xml:space="preserve">D01-07</t>
  </si>
  <si>
    <t xml:space="preserve">Hoax-call pattern agent</t>
  </si>
  <si>
    <t xml:space="preserve">Scores repeat false callers and routes them to proactive intervention</t>
  </si>
  <si>
    <t xml:space="preserve">D01-08</t>
  </si>
  <si>
    <t xml:space="preserve">Live call-transcription agent</t>
  </si>
  <si>
    <t xml:space="preserve">Transcribes and tags emergency calls into CAD as searchable evidence</t>
  </si>
  <si>
    <t xml:space="preserve">D01-09</t>
  </si>
  <si>
    <t xml:space="preserve">Missing-person first-hours agent</t>
  </si>
  <si>
    <t xml:space="preserve">Runs the amber protocol: broadcasts, CCTV tasking, hospital and shelter checks</t>
  </si>
  <si>
    <t xml:space="preserve">D01-10</t>
  </si>
  <si>
    <t xml:space="preserve">Bystander first-aid coach agent</t>
  </si>
  <si>
    <t xml:space="preserve">Guides 999 callers through CPR and bleeding control with live video checks</t>
  </si>
  <si>
    <t xml:space="preserve">Copilot</t>
  </si>
  <si>
    <t xml:space="preserve">D01-11</t>
  </si>
  <si>
    <t xml:space="preserve">Tourist SOS agent</t>
  </si>
  <si>
    <t xml:space="preserve">WhatsApp-native triage in 10+ languages, links embassy and hotel instantly</t>
  </si>
  <si>
    <t xml:space="preserve">D01-12</t>
  </si>
  <si>
    <t xml:space="preserve">Air-ambulance request agent</t>
  </si>
  <si>
    <t xml:space="preserve">Criteria-based HEMS dispatch with landing-zone coordination</t>
  </si>
  <si>
    <t xml:space="preserve">Orchestrator</t>
  </si>
  <si>
    <t xml:space="preserve">Hard</t>
  </si>
  <si>
    <t xml:space="preserve">D01-13</t>
  </si>
  <si>
    <t xml:space="preserve">Marine distress coordinator</t>
  </si>
  <si>
    <t xml:space="preserve">Fuses coast radar, AIS and patrol boats into one rescue orchestration</t>
  </si>
  <si>
    <t xml:space="preserve">D01-14</t>
  </si>
  <si>
    <t xml:space="preserve">Evacuation routing agent</t>
  </si>
  <si>
    <t xml:space="preserve">Computes live safe routes during fire or chemical incidents and pushes them to phones</t>
  </si>
  <si>
    <t xml:space="preserve">D01-15</t>
  </si>
  <si>
    <t xml:space="preserve">Dispatcher copilot</t>
  </si>
  <si>
    <t xml:space="preserve">Suggests unit combinations, ETAs and risk notes for every incident</t>
  </si>
  <si>
    <t xml:space="preserve">D01-16</t>
  </si>
  <si>
    <t xml:space="preserve">Casualty family-notification agent</t>
  </si>
  <si>
    <t xml:space="preserve">Coordinates dignified next-of-kin contact with counselor handoff</t>
  </si>
  <si>
    <t xml:space="preserve">D01-17</t>
  </si>
  <si>
    <t xml:space="preserve">Multi-agency SITREP agent</t>
  </si>
  <si>
    <t xml:space="preserve">Auto-writes situation reports for ambulance, civil defense and DCD</t>
  </si>
  <si>
    <t xml:space="preserve">D01-18</t>
  </si>
  <si>
    <t xml:space="preserve">901-vs-999 educator agent</t>
  </si>
  <si>
    <t xml:space="preserve">Routes non-emergencies and teaches the correct channel, cutting 999 load</t>
  </si>
  <si>
    <t xml:space="preserve">D01-19</t>
  </si>
  <si>
    <t xml:space="preserve">Mental-health co-response agent</t>
  </si>
  <si>
    <t xml:space="preserve">Provides de-escalation scripts, links social care, flags repeat crises</t>
  </si>
  <si>
    <t xml:space="preserve">D01-20</t>
  </si>
  <si>
    <t xml:space="preserve">Call-QA audit agent</t>
  </si>
  <si>
    <t xml:space="preserve">Reviews 5% of calls weekly, scores handling quality, trains rookies</t>
  </si>
  <si>
    <t xml:space="preserve">D02-01</t>
  </si>
  <si>
    <t xml:space="preserve">Patrol, Robots &amp; Drones</t>
  </si>
  <si>
    <t xml:space="preserve">Robot-patrol scheduler</t>
  </si>
  <si>
    <t xml:space="preserve">Assigns robot patrol units to predicted hotspots every shift</t>
  </si>
  <si>
    <t xml:space="preserve">D02-02</t>
  </si>
  <si>
    <t xml:space="preserve">Robot escalation handler</t>
  </si>
  <si>
    <t xml:space="preserve">Citizen talks to patrol robot; agent dispatches officer with full context</t>
  </si>
  <si>
    <t xml:space="preserve">D02-03</t>
  </si>
  <si>
    <t xml:space="preserve">Drone-first-responder agent</t>
  </si>
  <si>
    <t xml:space="preserve">Auto-launches drone on alarms; arrives with live feed before ground units</t>
  </si>
  <si>
    <t xml:space="preserve">D02-04</t>
  </si>
  <si>
    <t xml:space="preserve">Crowd-density drone agent</t>
  </si>
  <si>
    <t xml:space="preserve">Counts and predicts crush-risk at gatherings, triggers staggered entry</t>
  </si>
  <si>
    <t xml:space="preserve">Monitor &amp; Alert</t>
  </si>
  <si>
    <t xml:space="preserve">D02-05</t>
  </si>
  <si>
    <t xml:space="preserve">Patrol anomaly spotter</t>
  </si>
  <si>
    <t xml:space="preserve">Flags abandoned cars, altercations and smoke from moving vehicle feeds</t>
  </si>
  <si>
    <t xml:space="preserve">D02-06</t>
  </si>
  <si>
    <t xml:space="preserve">Predictive patrol router</t>
  </si>
  <si>
    <t xml:space="preserve">Rebalances patrol routes hourly by risk forecast, with bias audits</t>
  </si>
  <si>
    <t xml:space="preserve">D02-07</t>
  </si>
  <si>
    <t xml:space="preserve">Bodycam guardian</t>
  </si>
  <si>
    <t xml:space="preserve">Live weapon, fall and downed-officer detection with auto-backup alert</t>
  </si>
  <si>
    <t xml:space="preserve">D02-08</t>
  </si>
  <si>
    <t xml:space="preserve">Beat-cop chat robot</t>
  </si>
  <si>
    <t xml:space="preserve">Robot in patrol car answers public queries and takes reports on the spot</t>
  </si>
  <si>
    <t xml:space="preserve">D02-09</t>
  </si>
  <si>
    <t xml:space="preserve">Abandoned-vehicle lifecycle agent</t>
  </si>
  <si>
    <t xml:space="preserve">Runs detect, ticket, tow and auction pipeline without paperwork</t>
  </si>
  <si>
    <t xml:space="preserve">D02-10</t>
  </si>
  <si>
    <t xml:space="preserve">Noise-complaint triage agent</t>
  </si>
  <si>
    <t xml:space="preserve">Grades noise reports, books inspections, closes loop with reporter</t>
  </si>
  <si>
    <t xml:space="preserve">D02-11</t>
  </si>
  <si>
    <t xml:space="preserve">Beach safety agent</t>
  </si>
  <si>
    <t xml:space="preserve">Detects swimmers outside zones and jet-ski violations; alerts marine units</t>
  </si>
  <si>
    <t xml:space="preserve">D02-12</t>
  </si>
  <si>
    <t xml:space="preserve">Desert rescue coordinator</t>
  </si>
  <si>
    <t xml:space="preserve">Tracks off-roaders via check-ins and coordinates dune rescues</t>
  </si>
  <si>
    <t xml:space="preserve">D02-13</t>
  </si>
  <si>
    <t xml:space="preserve">Vacant-property watch agent</t>
  </si>
  <si>
    <t xml:space="preserve">Learns normal patterns at empty buildings and alerts on breach</t>
  </si>
  <si>
    <t xml:space="preserve">D02-14</t>
  </si>
  <si>
    <t xml:space="preserve">School-zone guardian</t>
  </si>
  <si>
    <t xml:space="preserve">Times enforcement, flags stalled vehicles, sends safety nudges to parents</t>
  </si>
  <si>
    <t xml:space="preserve">D02-15</t>
  </si>
  <si>
    <t xml:space="preserve">Critical-infrastructure sentinel</t>
  </si>
  <si>
    <t xml:space="preserve">Triage perimeter breaches with auto-lockdown and dispatch</t>
  </si>
  <si>
    <t xml:space="preserve">D02-16</t>
  </si>
  <si>
    <t xml:space="preserve">Graffiti &amp; vandalism linker</t>
  </si>
  <si>
    <t xml:space="preserve">Clusters damage incidents citywide into single case files</t>
  </si>
  <si>
    <t xml:space="preserve">D02-17</t>
  </si>
  <si>
    <t xml:space="preserve">Dark-street security agent</t>
  </si>
  <si>
    <t xml:space="preserve">Correlates crime with lighting outages and files municipality fixes</t>
  </si>
  <si>
    <t xml:space="preserve">D02-18</t>
  </si>
  <si>
    <t xml:space="preserve">Officer-backup orchestrator</t>
  </si>
  <si>
    <t xml:space="preserve">Matches nearest units and pushes live incident brief to their screens</t>
  </si>
  <si>
    <t xml:space="preserve">D02-19</t>
  </si>
  <si>
    <t xml:space="preserve">Evidence clip-curator</t>
  </si>
  <si>
    <t xml:space="preserve">Auto-clips incidents from feeds with hash-based chain of custody</t>
  </si>
  <si>
    <t xml:space="preserve">D02-20</t>
  </si>
  <si>
    <t xml:space="preserve">Shift-handover briefer</t>
  </si>
  <si>
    <t xml:space="preserve">Writes shift reports: open jobs, risks and repeat addresses</t>
  </si>
  <si>
    <t xml:space="preserve">D03-01</t>
  </si>
  <si>
    <t xml:space="preserve">Criminal Investigations &amp; Forensics</t>
  </si>
  <si>
    <t xml:space="preserve">Case-file assembler</t>
  </si>
  <si>
    <t xml:space="preserve">Pulls reports, CCTV logs and forensic results into one living dossier</t>
  </si>
  <si>
    <t xml:space="preserve">D03-02</t>
  </si>
  <si>
    <t xml:space="preserve">CCTV timeline reconstructor</t>
  </si>
  <si>
    <t xml:space="preserve">Tracks a subject across cameras into a verified, warrant-governed timeline</t>
  </si>
  <si>
    <t xml:space="preserve">D03-03</t>
  </si>
  <si>
    <t xml:space="preserve">Suspect-link analyst</t>
  </si>
  <si>
    <t xml:space="preserve">Graphs connections across cases, phones, vehicles and addresses</t>
  </si>
  <si>
    <t xml:space="preserve">D03-04</t>
  </si>
  <si>
    <t xml:space="preserve">M.O. similarity engine</t>
  </si>
  <si>
    <t xml:space="preserve">Flags seen-before patterns across thousands of historical cases</t>
  </si>
  <si>
    <t xml:space="preserve">D03-05</t>
  </si>
  <si>
    <t xml:space="preserve">Digital-evidence intake agent</t>
  </si>
  <si>
    <t xml:space="preserve">Hashes, catalogs and prioritizes seized devices automatically</t>
  </si>
  <si>
    <t xml:space="preserve">D03-06</t>
  </si>
  <si>
    <t xml:space="preserve">Forensic-report summarizer</t>
  </si>
  <si>
    <t xml:space="preserve">Turns lengthy lab reports into one-page investigator briefs</t>
  </si>
  <si>
    <t xml:space="preserve">D03-07</t>
  </si>
  <si>
    <t xml:space="preserve">Interview prep copilot</t>
  </si>
  <si>
    <t xml:space="preserve">Builds question trees from case facts for suspect and witness interviews</t>
  </si>
  <si>
    <t xml:space="preserve">D03-08</t>
  </si>
  <si>
    <t xml:space="preserve">Statement consistency checker</t>
  </si>
  <si>
    <t xml:space="preserve">Cross-checks witness accounts for contradictions and coaching signs</t>
  </si>
  <si>
    <t xml:space="preserve">D03-09</t>
  </si>
  <si>
    <t xml:space="preserve">Financial-flow tracer</t>
  </si>
  <si>
    <t xml:space="preserve">Follows laundered money across banks, hawala and crypto with UTB/FTAF</t>
  </si>
  <si>
    <t xml:space="preserve">D03-10</t>
  </si>
  <si>
    <t xml:space="preserve">Stolen-goods crawler</t>
  </si>
  <si>
    <t xml:space="preserve">Matches marketplace and social listings against the stolen-item registry</t>
  </si>
  <si>
    <t xml:space="preserve">D03-11</t>
  </si>
  <si>
    <t xml:space="preserve">Cold-case re-opener</t>
  </si>
  <si>
    <t xml:space="preserve">Re-scans old evidence with new models and surfaces fresh leads</t>
  </si>
  <si>
    <t xml:space="preserve">D03-12</t>
  </si>
  <si>
    <t xml:space="preserve">Warrant drafting copilot</t>
  </si>
  <si>
    <t xml:space="preserve">Assembles probable-cause summaries for prosecutors to review</t>
  </si>
  <si>
    <t xml:space="preserve">D03-13</t>
  </si>
  <si>
    <t xml:space="preserve">Lab turnaround tracker</t>
  </si>
  <si>
    <t xml:space="preserve">Chases delayed DNA and fingerprint results, flags bottlenecks</t>
  </si>
  <si>
    <t xml:space="preserve">D03-14</t>
  </si>
  <si>
    <t xml:space="preserve">Match-queue prioritizer</t>
  </si>
  <si>
    <t xml:space="preserve">Ranks ballistics and print hits by case urgency and solvability</t>
  </si>
  <si>
    <t xml:space="preserve">D03-15</t>
  </si>
  <si>
    <t xml:space="preserve">Victim liaison agent</t>
  </si>
  <si>
    <t xml:space="preserve">Sends proactive case updates, court dates and support referrals to victims</t>
  </si>
  <si>
    <t xml:space="preserve">D03-16</t>
  </si>
  <si>
    <t xml:space="preserve">Interpol liaison agent</t>
  </si>
  <si>
    <t xml:space="preserve">Drafts red notices and triages incoming foreign requests</t>
  </si>
  <si>
    <t xml:space="preserve">D03-17</t>
  </si>
  <si>
    <t xml:space="preserve">Burglary pattern agent</t>
  </si>
  <si>
    <t xml:space="preserve">Clusters M.O. by district and recommends task-force focus</t>
  </si>
  <si>
    <t xml:space="preserve">D03-18</t>
  </si>
  <si>
    <t xml:space="preserve">Vehicle-crime workbench</t>
  </si>
  <si>
    <t xml:space="preserve">Detection queue for VIN cloning and plate-swap patterns</t>
  </si>
  <si>
    <t xml:space="preserve">D03-19</t>
  </si>
  <si>
    <t xml:space="preserve">Homicide 72-hour playbook</t>
  </si>
  <si>
    <t xml:space="preserve">Drives first-3-days task checklist, resource requests and reviews</t>
  </si>
  <si>
    <t xml:space="preserve">D03-20</t>
  </si>
  <si>
    <t xml:space="preserve">Court-package formatter</t>
  </si>
  <si>
    <t xml:space="preserve">Bundles exhibits to prosecution standards and tracks chain of custody</t>
  </si>
  <si>
    <t xml:space="preserve">D04-01</t>
  </si>
  <si>
    <t xml:space="preserve">Traffic &amp; Road Safety</t>
  </si>
  <si>
    <t xml:space="preserve">Fine-dispute assistant</t>
  </si>
  <si>
    <t xml:space="preserve">Assembles evidence and files contestation for wrongly-issued fines</t>
  </si>
  <si>
    <t xml:space="preserve">Personal</t>
  </si>
  <si>
    <t xml:space="preserve">D04-02</t>
  </si>
  <si>
    <t xml:space="preserve">Accident self-report agent</t>
  </si>
  <si>
    <t xml:space="preserve">Guides drivers, sketches scene, files report and books car assessment</t>
  </si>
  <si>
    <t xml:space="preserve">D04-03</t>
  </si>
  <si>
    <t xml:space="preserve">Fast-lane clearance agent</t>
  </si>
  <si>
    <t xml:space="preserve">Dispatches minor-collision tows to clear roads within minutes</t>
  </si>
  <si>
    <t xml:space="preserve">D04-04</t>
  </si>
  <si>
    <t xml:space="preserve">Dashcam justice agent</t>
  </si>
  <si>
    <t xml:space="preserve">Public uploads reckless-driving video and agent opens a case file</t>
  </si>
  <si>
    <t xml:space="preserve">D04-05</t>
  </si>
  <si>
    <t xml:space="preserve">School-bus shield agent</t>
  </si>
  <si>
    <t xml:space="preserve">Skip-arm and overtake violations auto-enforced; alerts operators</t>
  </si>
  <si>
    <t xml:space="preserve">D04-06</t>
  </si>
  <si>
    <t xml:space="preserve">Rider-safety scorer</t>
  </si>
  <si>
    <t xml:space="preserve">Helmet detection plus per-delivery-company safety scorecards</t>
  </si>
  <si>
    <t xml:space="preserve">D04-07</t>
  </si>
  <si>
    <t xml:space="preserve">Hit-and-run tracker</t>
  </si>
  <si>
    <t xml:space="preserve">Matches paint, footage, parts and damage patterns to find vehicles</t>
  </si>
  <si>
    <t xml:space="preserve">D04-08</t>
  </si>
  <si>
    <t xml:space="preserve">Black-points coach</t>
  </si>
  <si>
    <t xml:space="preserve">Proactive nudges at 12 and 18 points; books defensive-driving courses</t>
  </si>
  <si>
    <t xml:space="preserve">D04-09</t>
  </si>
  <si>
    <t xml:space="preserve">Fog-response broadcaster</t>
  </si>
  <si>
    <t xml:space="preserve">Orchestrates VMS, SMS and social advisories during low visibility</t>
  </si>
  <si>
    <t xml:space="preserve">D04-10</t>
  </si>
  <si>
    <t xml:space="preserve">Truck-compliance agent</t>
  </si>
  <si>
    <t xml:space="preserve">Overload, banned-hours and route enforcement workflow</t>
  </si>
  <si>
    <t xml:space="preserve">D04-11</t>
  </si>
  <si>
    <t xml:space="preserve">Speed-camera siting analyst</t>
  </si>
  <si>
    <t xml:space="preserve">Recommends camera locations from crash heatmaps</t>
  </si>
  <si>
    <t xml:space="preserve">D04-12</t>
  </si>
  <si>
    <t xml:space="preserve">Street-race predictor</t>
  </si>
  <si>
    <t xml:space="preserve">Social chatter plus gathering patterns trigger pre-positioned units</t>
  </si>
  <si>
    <t xml:space="preserve">D04-13</t>
  </si>
  <si>
    <t xml:space="preserve">Evacuation corridor agent</t>
  </si>
  <si>
    <t xml:space="preserve">Creates dynamic green corridors during major incidents</t>
  </si>
  <si>
    <t xml:space="preserve">D04-14</t>
  </si>
  <si>
    <t xml:space="preserve">Roadworks impact reviewer</t>
  </si>
  <si>
    <t xml:space="preserve">Scores permit requests for congestion and safety risk</t>
  </si>
  <si>
    <t xml:space="preserve">D04-15</t>
  </si>
  <si>
    <t xml:space="preserve">Wrong-way interceptor</t>
  </si>
  <si>
    <t xml:space="preserve">Instant camera trigger sends intercept brief to nearest unit</t>
  </si>
  <si>
    <t xml:space="preserve">D04-16</t>
  </si>
  <si>
    <t xml:space="preserve">Child-seat educator</t>
  </si>
  <si>
    <t xml:space="preserve">Checkpoint follow-ups and free fitment bookings for families</t>
  </si>
  <si>
    <t xml:space="preserve">D04-17</t>
  </si>
  <si>
    <t xml:space="preserve">Traffic-court scheduler</t>
  </si>
  <si>
    <t xml:space="preserve">Auto-books hearings, sends reminders, manages deferrals</t>
  </si>
  <si>
    <t xml:space="preserve">D04-18</t>
  </si>
  <si>
    <t xml:space="preserve">Pedestrian hotspot guardian</t>
  </si>
  <si>
    <t xml:space="preserve">Jaywalking clusters trigger officer posting and barrier fixes</t>
  </si>
  <si>
    <t xml:space="preserve">D04-19</t>
  </si>
  <si>
    <t xml:space="preserve">Delivery-fleet safety API</t>
  </si>
  <si>
    <t xml:space="preserve">Serves violation insights to employers through a secure API</t>
  </si>
  <si>
    <t xml:space="preserve">D04-20</t>
  </si>
  <si>
    <t xml:space="preserve">Crash-insight weekly agent</t>
  </si>
  <si>
    <t xml:space="preserve">Citywide crash digest with root causes for commanders</t>
  </si>
  <si>
    <t xml:space="preserve">D05-01</t>
  </si>
  <si>
    <t xml:space="preserve">Cybercrime &amp; Digital Fraud</t>
  </si>
  <si>
    <t xml:space="preserve">Scam-report triage agent</t>
  </si>
  <si>
    <t xml:space="preserve">Public reports scam calls and SMS; agent runs block-and-warn pipeline</t>
  </si>
  <si>
    <t xml:space="preserve">D05-02</t>
  </si>
  <si>
    <t xml:space="preserve">Phishing takedown agent</t>
  </si>
  <si>
    <t xml:space="preserve">Detects fake sites, notifies registrars and confirms removal</t>
  </si>
  <si>
    <t xml:space="preserve">D05-03</t>
  </si>
  <si>
    <t xml:space="preserve">Crypto-flow tracer</t>
  </si>
  <si>
    <t xml:space="preserve">Blockchain analytics with freeze requests to exchanges</t>
  </si>
  <si>
    <t xml:space="preserve">D05-04</t>
  </si>
  <si>
    <t xml:space="preserve">Sextortion first-responder</t>
  </si>
  <si>
    <t xml:space="preserve">Evidence preservation and victim support steps via discreet chat</t>
  </si>
  <si>
    <t xml:space="preserve">D05-05</t>
  </si>
  <si>
    <t xml:space="preserve">Pre-victim nudger</t>
  </si>
  <si>
    <t xml:space="preserve">Warns likely fraud targets with tailored alerts before they pay</t>
  </si>
  <si>
    <t xml:space="preserve">D05-06</t>
  </si>
  <si>
    <t xml:space="preserve">Dark-web leak monitor</t>
  </si>
  <si>
    <t xml:space="preserve">Alerts when UAE data or citizens appear on dark markets</t>
  </si>
  <si>
    <t xml:space="preserve">D05-07</t>
  </si>
  <si>
    <t xml:space="preserve">Impersonation hunter</t>
  </si>
  <si>
    <t xml:space="preserve">Finds fake Dubai Police and gov accounts, drives takedowns</t>
  </si>
  <si>
    <t xml:space="preserve">D05-08</t>
  </si>
  <si>
    <t xml:space="preserve">E-commerce fraud ring agent</t>
  </si>
  <si>
    <t xml:space="preserve">Merchants share signals; agent links orders into fraud rings</t>
  </si>
  <si>
    <t xml:space="preserve">D05-09</t>
  </si>
  <si>
    <t xml:space="preserve">SIM-swap sentinel</t>
  </si>
  <si>
    <t xml:space="preserve">Flags suspicious port-ins with telcos in near real time</t>
  </si>
  <si>
    <t xml:space="preserve">D05-10</t>
  </si>
  <si>
    <t xml:space="preserve">Mule-account mapper</t>
  </si>
  <si>
    <t xml:space="preserve">Graphs mule networks across banks for joint freeze actions</t>
  </si>
  <si>
    <t xml:space="preserve">D05-11</t>
  </si>
  <si>
    <t xml:space="preserve">SME ransomware coach</t>
  </si>
  <si>
    <t xml:space="preserve">Guides containment steps, liaises with DESC, preserves evidence</t>
  </si>
  <si>
    <t xml:space="preserve">D05-12</t>
  </si>
  <si>
    <t xml:space="preserve">Grooming-pattern sentinel</t>
  </si>
  <si>
    <t xml:space="preserve">Flags child-grooming chat patterns to the protection unit</t>
  </si>
  <si>
    <t xml:space="preserve">D05-13</t>
  </si>
  <si>
    <t xml:space="preserve">Hack-report intake agent</t>
  </si>
  <si>
    <t xml:space="preserve">Companies report intrusions; agent triages and escalates to DESC</t>
  </si>
  <si>
    <t xml:space="preserve">D05-14</t>
  </si>
  <si>
    <t xml:space="preserve">Job-scam ad detector</t>
  </si>
  <si>
    <t xml:space="preserve">Crawls platforms for mule-recruitment and fake job offers</t>
  </si>
  <si>
    <t xml:space="preserve">D05-15</t>
  </si>
  <si>
    <t xml:space="preserve">Device triage agent</t>
  </si>
  <si>
    <t xml:space="preserve">Prioritizes seized phones and laptops by case relevance</t>
  </si>
  <si>
    <t xml:space="preserve">D05-16</t>
  </si>
  <si>
    <t xml:space="preserve">Reimbursement tracker</t>
  </si>
  <si>
    <t xml:space="preserve">Tracks bank freeze to fund-return cases and updates victims</t>
  </si>
  <si>
    <t xml:space="preserve">D05-17</t>
  </si>
  <si>
    <t xml:space="preserve">Elder-fraud guardian</t>
  </si>
  <si>
    <t xml:space="preserve">Family opt-in alerts for unusual senior transactions</t>
  </si>
  <si>
    <t xml:space="preserve">D05-18</t>
  </si>
  <si>
    <t xml:space="preserve">Scam-app spotter</t>
  </si>
  <si>
    <t xml:space="preserve">Identifies UAE-targeted malicious apps in app stores</t>
  </si>
  <si>
    <t xml:space="preserve">D05-19</t>
  </si>
  <si>
    <t xml:space="preserve">Cyber-tipline agent</t>
  </si>
  <si>
    <t xml:space="preserve">One multilingual channel for any cyber report, routed correctly</t>
  </si>
  <si>
    <t xml:space="preserve">D05-20</t>
  </si>
  <si>
    <t xml:space="preserve">Threat-brief writer</t>
  </si>
  <si>
    <t xml:space="preserve">Daily executive cyber threat summary for leadership</t>
  </si>
  <si>
    <t xml:space="preserve">D06-01</t>
  </si>
  <si>
    <t xml:space="preserve">Community Services &amp; Smart Reports</t>
  </si>
  <si>
    <t xml:space="preserve">Good-conduct certificate agent</t>
  </si>
  <si>
    <t xml:space="preserve">Instant issuance with smart checks and attestation flow</t>
  </si>
  <si>
    <t xml:space="preserve">D06-02</t>
  </si>
  <si>
    <t xml:space="preserve">Report-filing copilot</t>
  </si>
  <si>
    <t xml:space="preserve">Guides any police report in your language, zero office visits</t>
  </si>
  <si>
    <t xml:space="preserve">D06-03</t>
  </si>
  <si>
    <t xml:space="preserve">Case-status tracker</t>
  </si>
  <si>
    <t xml:space="preserve">Proactive updates on your report, injury or traffic case</t>
  </si>
  <si>
    <t xml:space="preserve">D06-04</t>
  </si>
  <si>
    <t xml:space="preserve">Employer verification agent</t>
  </si>
  <si>
    <t xml:space="preserve">Instant consent-based clearance checks for hiring decisions</t>
  </si>
  <si>
    <t xml:space="preserve">D06-05</t>
  </si>
  <si>
    <t xml:space="preserve">Event security request agent</t>
  </si>
  <si>
    <t xml:space="preserve">Permits, marshals and road-closure requests in one flow</t>
  </si>
  <si>
    <t xml:space="preserve">D06-06</t>
  </si>
  <si>
    <t xml:space="preserve">Neighbor-mediation agent</t>
  </si>
  <si>
    <t xml:space="preserve">Books community police visits and tracks resolutions</t>
  </si>
  <si>
    <t xml:space="preserve">D06-07</t>
  </si>
  <si>
    <t xml:space="preserve">Welfare-check agent</t>
  </si>
  <si>
    <t xml:space="preserve">Worried about a relative? Agent dispatches a wellness visit</t>
  </si>
  <si>
    <t xml:space="preserve">D06-08</t>
  </si>
  <si>
    <t xml:space="preserve">Found-property handover agent</t>
  </si>
  <si>
    <t xml:space="preserve">Guided handover flow with instant receipt and thanks</t>
  </si>
  <si>
    <t xml:space="preserve">D06-09</t>
  </si>
  <si>
    <t xml:space="preserve">Vacation watch registry</t>
  </si>
  <si>
    <t xml:space="preserve">Register travel dates so patrols check your home</t>
  </si>
  <si>
    <t xml:space="preserve">D06-10</t>
  </si>
  <si>
    <t xml:space="preserve">Nuisance router</t>
  </si>
  <si>
    <t xml:space="preserve">Noise, smell and light complaints routed to the right authority fast</t>
  </si>
  <si>
    <t xml:space="preserve">D06-11</t>
  </si>
  <si>
    <t xml:space="preserve">Officer-visit scheduler</t>
  </si>
  <si>
    <t xml:space="preserve">Book community policing visits to home, school or office</t>
  </si>
  <si>
    <t xml:space="preserve">D06-12</t>
  </si>
  <si>
    <t xml:space="preserve">Domestic-worker report agent</t>
  </si>
  <si>
    <t xml:space="preserve">Absconding and employer reports handled per MOHRE rules</t>
  </si>
  <si>
    <t xml:space="preserve">D06-13</t>
  </si>
  <si>
    <t xml:space="preserve">New-resident welcome agent</t>
  </si>
  <si>
    <t xml:space="preserve">Safety pack, emergency numbers and app tour on arrival</t>
  </si>
  <si>
    <t xml:space="preserve">D06-14</t>
  </si>
  <si>
    <t xml:space="preserve">Compliment &amp; complaint agent</t>
  </si>
  <si>
    <t xml:space="preserve">Routes praise and grievances, tracks to closure, reports themes</t>
  </si>
  <si>
    <t xml:space="preserve">D06-15</t>
  </si>
  <si>
    <t xml:space="preserve">Hemaya volunteer agent</t>
  </si>
  <si>
    <t xml:space="preserve">Volunteer shift signup, badges and event assignments</t>
  </si>
  <si>
    <t xml:space="preserve">D06-16</t>
  </si>
  <si>
    <t xml:space="preserve">Blood-donation coordinator</t>
  </si>
  <si>
    <t xml:space="preserve">Runs police-backed donation drives and matches donors</t>
  </si>
  <si>
    <t xml:space="preserve">D06-17</t>
  </si>
  <si>
    <t xml:space="preserve">Peak-period advisory agent</t>
  </si>
  <si>
    <t xml:space="preserve">Auto SMS advisories for Friday, mall and mosque surges</t>
  </si>
  <si>
    <t xml:space="preserve">D06-18</t>
  </si>
  <si>
    <t xml:space="preserve">Seasonal-event guide agent</t>
  </si>
  <si>
    <t xml:space="preserve">Ramadan and NYE crowd and safety guidance by district</t>
  </si>
  <si>
    <t xml:space="preserve">D06-19</t>
  </si>
  <si>
    <t xml:space="preserve">Community-themes digest</t>
  </si>
  <si>
    <t xml:space="preserve">Weekly clustering of complaints for commanders</t>
  </si>
  <si>
    <t xml:space="preserve">D06-20</t>
  </si>
  <si>
    <t xml:space="preserve">Accessibility services agent</t>
  </si>
  <si>
    <t xml:space="preserve">Sign-language and video relay across all police services</t>
  </si>
  <si>
    <t xml:space="preserve">D07-01</t>
  </si>
  <si>
    <t xml:space="preserve">Tourist Policing</t>
  </si>
  <si>
    <t xml:space="preserve">Tourist guardian agent</t>
  </si>
  <si>
    <t xml:space="preserve">WhatsApp concierge for safety, scams, directions and SOS</t>
  </si>
  <si>
    <t xml:space="preserve">D07-02</t>
  </si>
  <si>
    <t xml:space="preserve">Lost-passport express agent</t>
  </si>
  <si>
    <t xml:space="preserve">Police report plus embassy booking plus translation in one chat</t>
  </si>
  <si>
    <t xml:space="preserve">D07-03</t>
  </si>
  <si>
    <t xml:space="preserve">Hotel-theft fast lane</t>
  </si>
  <si>
    <t xml:space="preserve">Coordinated report with hotel security CCTV pull</t>
  </si>
  <si>
    <t xml:space="preserve">D07-04</t>
  </si>
  <si>
    <t xml:space="preserve">Desert-tour safety agent</t>
  </si>
  <si>
    <t xml:space="preserve">Tracks licensed operators, weather holds and SOS check-ins</t>
  </si>
  <si>
    <t xml:space="preserve">D07-05</t>
  </si>
  <si>
    <t xml:space="preserve">Yacht-charter verifier</t>
  </si>
  <si>
    <t xml:space="preserve">Checks licenses, insurance and passenger manifests before sailing</t>
  </si>
  <si>
    <t xml:space="preserve">D07-06</t>
  </si>
  <si>
    <t xml:space="preserve">Scam-pattern shield</t>
  </si>
  <si>
    <t xml:space="preserve">Pushes alerts on active tourist scams by area</t>
  </si>
  <si>
    <t xml:space="preserve">D07-07</t>
  </si>
  <si>
    <t xml:space="preserve">Hotel liaison agent</t>
  </si>
  <si>
    <t xml:space="preserve">Daily incident digest for hotel security managers</t>
  </si>
  <si>
    <t xml:space="preserve">D07-08</t>
  </si>
  <si>
    <t xml:space="preserve">Cruise-arrival flow agent</t>
  </si>
  <si>
    <t xml:space="preserve">Pre-arrival safety packs for 5,000+ passenger days</t>
  </si>
  <si>
    <t xml:space="preserve">D07-09</t>
  </si>
  <si>
    <t xml:space="preserve">Lost-child reunifier</t>
  </si>
  <si>
    <t xml:space="preserve">Instant description broadcast to units and venue screens</t>
  </si>
  <si>
    <t xml:space="preserve">D07-10</t>
  </si>
  <si>
    <t xml:space="preserve">Overstay advisor</t>
  </si>
  <si>
    <t xml:space="preserve">Friendly grace-period reminders with GDRFA handoff</t>
  </si>
  <si>
    <t xml:space="preserve">D07-11</t>
  </si>
  <si>
    <t xml:space="preserve">Pickpocket-alert agent</t>
  </si>
  <si>
    <t xml:space="preserve">Area-based push notifications during peak seasons</t>
  </si>
  <si>
    <t xml:space="preserve">D07-12</t>
  </si>
  <si>
    <t xml:space="preserve">Medical bridge agent</t>
  </si>
  <si>
    <t xml:space="preserve">Police, ambulance and insurer coordination for tourists</t>
  </si>
  <si>
    <t xml:space="preserve">D07-13</t>
  </si>
  <si>
    <t xml:space="preserve">Rental-car dispute agent</t>
  </si>
  <si>
    <t xml:space="preserve">Pulls footage and files a neutral report for damage disputes</t>
  </si>
  <si>
    <t xml:space="preserve">D07-14</t>
  </si>
  <si>
    <t xml:space="preserve">Airport-luggage report agent</t>
  </si>
  <si>
    <t xml:space="preserve">Police report for lost luggage without queueing</t>
  </si>
  <si>
    <t xml:space="preserve">D07-15</t>
  </si>
  <si>
    <t xml:space="preserve">Beach-hazard advisory agent</t>
  </si>
  <si>
    <t xml:space="preserve">Rip-current and flag-system alerts by beach</t>
  </si>
  <si>
    <t xml:space="preserve">D07-16</t>
  </si>
  <si>
    <t xml:space="preserve">Exchange-scam monitor</t>
  </si>
  <si>
    <t xml:space="preserve">Tracks complaint patterns at currency exchange houses</t>
  </si>
  <si>
    <t xml:space="preserve">D07-17</t>
  </si>
  <si>
    <t xml:space="preserve">Event-safety planner</t>
  </si>
  <si>
    <t xml:space="preserve">Crowd plans for weddings and conferences by organizers</t>
  </si>
  <si>
    <t xml:space="preserve">D07-18</t>
  </si>
  <si>
    <t xml:space="preserve">Nightlife guardian</t>
  </si>
  <si>
    <t xml:space="preserve">Venue incident heat alerts and safety marshal scheduling</t>
  </si>
  <si>
    <t xml:space="preserve">D07-19</t>
  </si>
  <si>
    <t xml:space="preserve">Post-visit survey agent</t>
  </si>
  <si>
    <t xml:space="preserve">Measures safety NPS and flags service gaps</t>
  </si>
  <si>
    <t xml:space="preserve">D07-20</t>
  </si>
  <si>
    <t xml:space="preserve">Group-tour checker</t>
  </si>
  <si>
    <t xml:space="preserve">Verifies operators, itineraries and insurance for tour groups</t>
  </si>
  <si>
    <t xml:space="preserve">D08-01</t>
  </si>
  <si>
    <t xml:space="preserve">Lost &amp; Found &amp; Property</t>
  </si>
  <si>
    <t xml:space="preserve">Lost-item matcher</t>
  </si>
  <si>
    <t xml:space="preserve">Image-similarity matching across all found-item records</t>
  </si>
  <si>
    <t xml:space="preserve">D08-02</t>
  </si>
  <si>
    <t xml:space="preserve">Found-item intake agent</t>
  </si>
  <si>
    <t xml:space="preserve">Photo to auto-catalog to owner search in seconds</t>
  </si>
  <si>
    <t xml:space="preserve">D08-03</t>
  </si>
  <si>
    <t xml:space="preserve">Airport reunifier</t>
  </si>
  <si>
    <t xml:space="preserve">Matches left luggage to passengers and books courier delivery</t>
  </si>
  <si>
    <t xml:space="preserve">D08-04</t>
  </si>
  <si>
    <t xml:space="preserve">Taxi-item agent</t>
  </si>
  <si>
    <t xml:space="preserve">Matches found items to trips via RTA trip data</t>
  </si>
  <si>
    <t xml:space="preserve">D08-05</t>
  </si>
  <si>
    <t xml:space="preserve">Hotel-network finder</t>
  </si>
  <si>
    <t xml:space="preserve">Federated search across hotel lost-property systems</t>
  </si>
  <si>
    <t xml:space="preserve">D08-06</t>
  </si>
  <si>
    <t xml:space="preserve">Wallet-return agent</t>
  </si>
  <si>
    <t xml:space="preserve">IDs owner from contents, contacts them, arranges delivery</t>
  </si>
  <si>
    <t xml:space="preserve">D08-07</t>
  </si>
  <si>
    <t xml:space="preserve">Device-recovery guide</t>
  </si>
  <si>
    <t xml:space="preserve">Remote-wipe guidance plus police report in one flow</t>
  </si>
  <si>
    <t xml:space="preserve">D08-08</t>
  </si>
  <si>
    <t xml:space="preserve">Unclaimed-auction agent</t>
  </si>
  <si>
    <t xml:space="preserve">Transparent listing and auction of unclaimed goods</t>
  </si>
  <si>
    <t xml:space="preserve">D08-09</t>
  </si>
  <si>
    <t xml:space="preserve">Valuables vault agent</t>
  </si>
  <si>
    <t xml:space="preserve">Jewelry and valuables special handling with valuation</t>
  </si>
  <si>
    <t xml:space="preserve">D08-10</t>
  </si>
  <si>
    <t xml:space="preserve">Lost-pet coordinator</t>
  </si>
  <si>
    <t xml:space="preserve">Works with municipality on pet matching and return</t>
  </si>
  <si>
    <t xml:space="preserve">D08-11</t>
  </si>
  <si>
    <t xml:space="preserve">Micro-mobility finder</t>
  </si>
  <si>
    <t xml:space="preserve">Bikes and e-scooters returned to dock with owner notified</t>
  </si>
  <si>
    <t xml:space="preserve">D08-12</t>
  </si>
  <si>
    <t xml:space="preserve">Luggage pre-registration</t>
  </si>
  <si>
    <t xml:space="preserve">Digital tag registration boosts reunification rates</t>
  </si>
  <si>
    <t xml:space="preserve">D08-13</t>
  </si>
  <si>
    <t xml:space="preserve">Claim-fraud filter</t>
  </si>
  <si>
    <t xml:space="preserve">Verifies claimants and detects fake property claims</t>
  </si>
  <si>
    <t xml:space="preserve">D08-14</t>
  </si>
  <si>
    <t xml:space="preserve">Courier-misdelivery mediator</t>
  </si>
  <si>
    <t xml:space="preserve">Resolves wrong-delivery disputes with evidence</t>
  </si>
  <si>
    <t xml:space="preserve">D08-15</t>
  </si>
  <si>
    <t xml:space="preserve">Metro lost-items agent</t>
  </si>
  <si>
    <t xml:space="preserve">RTA partnership for station and metro items</t>
  </si>
  <si>
    <t xml:space="preserve">D08-16</t>
  </si>
  <si>
    <t xml:space="preserve">Event lost-desk agent</t>
  </si>
  <si>
    <t xml:space="preserve">Combined lost-child and property desk for mega events</t>
  </si>
  <si>
    <t xml:space="preserve">D08-17</t>
  </si>
  <si>
    <t xml:space="preserve">Document fast-lane</t>
  </si>
  <si>
    <t xml:space="preserve">Diplomatic and critical documents priority return</t>
  </si>
  <si>
    <t xml:space="preserve">D08-18</t>
  </si>
  <si>
    <t xml:space="preserve">Surge-capacity manager</t>
  </si>
  <si>
    <t xml:space="preserve">Spawns intake agents during fare and event seasons</t>
  </si>
  <si>
    <t xml:space="preserve">D08-19</t>
  </si>
  <si>
    <t xml:space="preserve">Reunification KPI agent</t>
  </si>
  <si>
    <t xml:space="preserve">Tracks happiness metrics and follows up satisfaction</t>
  </si>
  <si>
    <t xml:space="preserve">D08-20</t>
  </si>
  <si>
    <t xml:space="preserve">Cross-emirate finder</t>
  </si>
  <si>
    <t xml:space="preserve">Federated search with other emirates' lost-property systems</t>
  </si>
  <si>
    <t xml:space="preserve">D09-01</t>
  </si>
  <si>
    <t xml:space="preserve">Safe City &amp; Surveillance (Oyoon)</t>
  </si>
  <si>
    <t xml:space="preserve">Camera-health sentinel</t>
  </si>
  <si>
    <t xml:space="preserve">Detects dead, obstructed or misaligned camera feeds citywide</t>
  </si>
  <si>
    <t xml:space="preserve">D09-02</t>
  </si>
  <si>
    <t xml:space="preserve">Alert-triage layer</t>
  </si>
  <si>
    <t xml:space="preserve">Filters Oyoon alerts and cuts false positives for human operators</t>
  </si>
  <si>
    <t xml:space="preserve">D09-03</t>
  </si>
  <si>
    <t xml:space="preserve">Face-match investigator</t>
  </si>
  <si>
    <t xml:space="preserve">Warrant-governed shortlist generation under strict governance</t>
  </si>
  <si>
    <t xml:space="preserve">D09-04</t>
  </si>
  <si>
    <t xml:space="preserve">Crowd early-warning agent</t>
  </si>
  <si>
    <t xml:space="preserve">Density trends trigger pre-emptive deployment 30 minutes ahead</t>
  </si>
  <si>
    <t xml:space="preserve">D09-05</t>
  </si>
  <si>
    <t xml:space="preserve">Abandoned-object agent</t>
  </si>
  <si>
    <t xml:space="preserve">Bomb-threat protocol automation from detection to clearance</t>
  </si>
  <si>
    <t xml:space="preserve">D09-06</t>
  </si>
  <si>
    <t xml:space="preserve">Vehicle-journey tracker</t>
  </si>
  <si>
    <t xml:space="preserve">ANPR reconstruction of suspect vehicle routes, warrant-controlled</t>
  </si>
  <si>
    <t xml:space="preserve">D09-07</t>
  </si>
  <si>
    <t xml:space="preserve">Perimeter-priority agent</t>
  </si>
  <si>
    <t xml:space="preserve">Ranks intrusion alerts by site criticality</t>
  </si>
  <si>
    <t xml:space="preserve">D09-08</t>
  </si>
  <si>
    <t xml:space="preserve">AI-audit guardian</t>
  </si>
  <si>
    <t xml:space="preserve">Logs every AI decision for DESC and inspector compliance</t>
  </si>
  <si>
    <t xml:space="preserve">D09-09</t>
  </si>
  <si>
    <t xml:space="preserve">Acoustic-shot integrator</t>
  </si>
  <si>
    <t xml:space="preserve">Fuses acoustic sensors with camera slew-to-cue response</t>
  </si>
  <si>
    <t xml:space="preserve">D09-10</t>
  </si>
  <si>
    <t xml:space="preserve">Hotspot analytics agent</t>
  </si>
  <si>
    <t xml:space="preserve">ATM fraud and loan-shark visual pattern detection</t>
  </si>
  <si>
    <t xml:space="preserve">D09-11</t>
  </si>
  <si>
    <t xml:space="preserve">Street-fight detector</t>
  </si>
  <si>
    <t xml:space="preserve">Early altercation detection with dispatch handoff</t>
  </si>
  <si>
    <t xml:space="preserve">D09-12</t>
  </si>
  <si>
    <t xml:space="preserve">Mall-federation agent</t>
  </si>
  <si>
    <t xml:space="preserve">Queries consented private cameras during incidents</t>
  </si>
  <si>
    <t xml:space="preserve">D09-13</t>
  </si>
  <si>
    <t xml:space="preserve">School-dispersal sentinel</t>
  </si>
  <si>
    <t xml:space="preserve">Child-safety alerts at school start and end windows</t>
  </si>
  <si>
    <t xml:space="preserve">D09-14</t>
  </si>
  <si>
    <t xml:space="preserve">Auto-incident detector</t>
  </si>
  <si>
    <t xml:space="preserve">Detects crashes and stalls, feeds traffic ops instantly</t>
  </si>
  <si>
    <t xml:space="preserve">D09-15</t>
  </si>
  <si>
    <t xml:space="preserve">Airspace watch agent</t>
  </si>
  <si>
    <t xml:space="preserve">Detects rogue drones and triggers counter-UAS protocol</t>
  </si>
  <si>
    <t xml:space="preserve">D09-16</t>
  </si>
  <si>
    <t xml:space="preserve">Coastal-watch integrator</t>
  </si>
  <si>
    <t xml:space="preserve">Links coastal cameras with marine unit response</t>
  </si>
  <si>
    <t xml:space="preserve">D09-17</t>
  </si>
  <si>
    <t xml:space="preserve">Site-theft pattern agent</t>
  </si>
  <si>
    <t xml:space="preserve">Construction-site theft patterns across the city</t>
  </si>
  <si>
    <t xml:space="preserve">D09-18</t>
  </si>
  <si>
    <t xml:space="preserve">Dashcam auto-tagger</t>
  </si>
  <si>
    <t xml:space="preserve">Tags and preserves fleet dashcam incident footage</t>
  </si>
  <si>
    <t xml:space="preserve">D09-19</t>
  </si>
  <si>
    <t xml:space="preserve">Place-risk scorer</t>
  </si>
  <si>
    <t xml:space="preserve">Scores streets by lighting and sightlines for municipal fixes</t>
  </si>
  <si>
    <t xml:space="preserve">D09-20</t>
  </si>
  <si>
    <t xml:space="preserve">Weekly intel digest</t>
  </si>
  <si>
    <t xml:space="preserve">Commander-level safe-city trends summary</t>
  </si>
  <si>
    <t xml:space="preserve">D10-01</t>
  </si>
  <si>
    <t xml:space="preserve">Drugs, Weapons &amp; Organized Crime</t>
  </si>
  <si>
    <t xml:space="preserve">Informant-note digitizer</t>
  </si>
  <si>
    <t xml:space="preserve">Structured, access-controlled digitization and linkage of reports</t>
  </si>
  <si>
    <t xml:space="preserve">D10-02</t>
  </si>
  <si>
    <t xml:space="preserve">Parcel-indicator agent</t>
  </si>
  <si>
    <t xml:space="preserve">Courier data patterns for narcotics with customs partnership</t>
  </si>
  <si>
    <t xml:space="preserve">D10-03</t>
  </si>
  <si>
    <t xml:space="preserve">Precursor-monitor agent</t>
  </si>
  <si>
    <t xml:space="preserve">Flags suspicious chemical purchase patterns</t>
  </si>
  <si>
    <t xml:space="preserve">D10-04</t>
  </si>
  <si>
    <t xml:space="preserve">Street-network mapper</t>
  </si>
  <si>
    <t xml:space="preserve">Graphs dealer networks from arrests and lawful intercepts</t>
  </si>
  <si>
    <t xml:space="preserve">D10-05</t>
  </si>
  <si>
    <t xml:space="preserve">Prescription-diversion agent</t>
  </si>
  <si>
    <t xml:space="preserve">Pharmacy-level prescription diversion detection</t>
  </si>
  <si>
    <t xml:space="preserve">D10-06</t>
  </si>
  <si>
    <t xml:space="preserve">Darknet monitor</t>
  </si>
  <si>
    <t xml:space="preserve">UAE-relevant listings and vendor surveillance</t>
  </si>
  <si>
    <t xml:space="preserve">D10-07</t>
  </si>
  <si>
    <t xml:space="preserve">Gang-sign classifier</t>
  </si>
  <si>
    <t xml:space="preserve">Graffiti and hand-sign classification for gang mapping</t>
  </si>
  <si>
    <t xml:space="preserve">D10-08</t>
  </si>
  <si>
    <t xml:space="preserve">Drone-drop sentinel</t>
  </si>
  <si>
    <t xml:space="preserve">Detects contraband drone drops at correctional facilities</t>
  </si>
  <si>
    <t xml:space="preserve">D10-09</t>
  </si>
  <si>
    <t xml:space="preserve">Trafficking-indicator agent</t>
  </si>
  <si>
    <t xml:space="preserve">Spa and labor pattern flags for multidisciplinary review</t>
  </si>
  <si>
    <t xml:space="preserve">D10-10</t>
  </si>
  <si>
    <t xml:space="preserve">Weapon-trace agent</t>
  </si>
  <si>
    <t xml:space="preserve">Serial recovery and import-record tracing</t>
  </si>
  <si>
    <t xml:space="preserve">D10-11</t>
  </si>
  <si>
    <t xml:space="preserve">Asset-tracing agent</t>
  </si>
  <si>
    <t xml:space="preserve">Follows criminal proceeds for forfeiture case preparation</t>
  </si>
  <si>
    <t xml:space="preserve">D10-12</t>
  </si>
  <si>
    <t xml:space="preserve">Rehab-referral agent</t>
  </si>
  <si>
    <t xml:space="preserve">Post-case treatment and support matching</t>
  </si>
  <si>
    <t xml:space="preserve">D10-13</t>
  </si>
  <si>
    <t xml:space="preserve">K9-deploy optimizer</t>
  </si>
  <si>
    <t xml:space="preserve">Matches K9 teams to the highest-value checkpoints</t>
  </si>
  <si>
    <t xml:space="preserve">D10-14</t>
  </si>
  <si>
    <t xml:space="preserve">Youth-recruitment sentinel</t>
  </si>
  <si>
    <t xml:space="preserve">Early warnings of gang grooming in schools and social media</t>
  </si>
  <si>
    <t xml:space="preserve">D10-15</t>
  </si>
  <si>
    <t xml:space="preserve">Skimmer detector</t>
  </si>
  <si>
    <t xml:space="preserve">ATM and fuel-pump skimmer pattern alerts</t>
  </si>
  <si>
    <t xml:space="preserve">D10-16</t>
  </si>
  <si>
    <t xml:space="preserve">Counterfeit-market agent</t>
  </si>
  <si>
    <t xml:space="preserve">Fake goods marketplace monitoring with Economy &amp; Tourism</t>
  </si>
  <si>
    <t xml:space="preserve">D10-17</t>
  </si>
  <si>
    <t xml:space="preserve">Piracy-street agent</t>
  </si>
  <si>
    <t xml:space="preserve">Pirated goods vendor hotspots for joint enforcement</t>
  </si>
  <si>
    <t xml:space="preserve">D10-18</t>
  </si>
  <si>
    <t xml:space="preserve">GCC-liaison digest</t>
  </si>
  <si>
    <t xml:space="preserve">Cross-border intelligence sharing summaries</t>
  </si>
  <si>
    <t xml:space="preserve">D10-19</t>
  </si>
  <si>
    <t xml:space="preserve">Case-priority scorer</t>
  </si>
  <si>
    <t xml:space="preserve">Ranks squad caseload by community harm and solvability</t>
  </si>
  <si>
    <t xml:space="preserve">D10-20</t>
  </si>
  <si>
    <t xml:space="preserve">Vault-integrity agent</t>
  </si>
  <si>
    <t xml:space="preserve">Evidence-store access anomaly monitoring</t>
  </si>
  <si>
    <t xml:space="preserve">D11-01</t>
  </si>
  <si>
    <t xml:space="preserve">Family, Women &amp; Children Protection</t>
  </si>
  <si>
    <t xml:space="preserve">DV-risk assessor</t>
  </si>
  <si>
    <t xml:space="preserve">Structured risk scoring; human officers make the decisions</t>
  </si>
  <si>
    <t xml:space="preserve">D11-02</t>
  </si>
  <si>
    <t xml:space="preserve">Grooming-alert agent</t>
  </si>
  <si>
    <t xml:space="preserve">School-reported chat pattern flags with consent frameworks</t>
  </si>
  <si>
    <t xml:space="preserve">D11-03</t>
  </si>
  <si>
    <t xml:space="preserve">Missing-child rapid agent</t>
  </si>
  <si>
    <t xml:space="preserve">Amber automation: broadcast, transport hubs, hospital sweeps</t>
  </si>
  <si>
    <t xml:space="preserve">D11-04</t>
  </si>
  <si>
    <t xml:space="preserve">Safe-exchange scheduler</t>
  </si>
  <si>
    <t xml:space="preserve">Supervised custody-handover bookings and monitoring</t>
  </si>
  <si>
    <t xml:space="preserve">D11-05</t>
  </si>
  <si>
    <t xml:space="preserve">Family-guidance booker</t>
  </si>
  <si>
    <t xml:space="preserve">Appointments for Dubai Police family support programs</t>
  </si>
  <si>
    <t xml:space="preserve">D11-06</t>
  </si>
  <si>
    <t xml:space="preserve">School-officer coordinator</t>
  </si>
  <si>
    <t xml:space="preserve">Schedules protection officers and tracks school flags</t>
  </si>
  <si>
    <t xml:space="preserve">D11-07</t>
  </si>
  <si>
    <t xml:space="preserve">Elder-neglect sentinel</t>
  </si>
  <si>
    <t xml:space="preserve">Care-pattern flags for joint review with CDA</t>
  </si>
  <si>
    <t xml:space="preserve">D11-08</t>
  </si>
  <si>
    <t xml:space="preserve">Confidential DV reporter</t>
  </si>
  <si>
    <t xml:space="preserve">Multilingual discreet reporting with safety planning</t>
  </si>
  <si>
    <t xml:space="preserve">D11-09</t>
  </si>
  <si>
    <t xml:space="preserve">Runaway-support agent</t>
  </si>
  <si>
    <t xml:space="preserve">Mediation, shelter booking and return planning for teens</t>
  </si>
  <si>
    <t xml:space="preserve">D11-10</t>
  </si>
  <si>
    <t xml:space="preserve">Cyberbullying responder</t>
  </si>
  <si>
    <t xml:space="preserve">Youth-facing evidence capture and school liaison</t>
  </si>
  <si>
    <t xml:space="preserve">Youth</t>
  </si>
  <si>
    <t xml:space="preserve">D11-11</t>
  </si>
  <si>
    <t xml:space="preserve">Financial-abuse advisor</t>
  </si>
  <si>
    <t xml:space="preserve">Explains rights and options in economic abuse cases</t>
  </si>
  <si>
    <t xml:space="preserve">D11-12</t>
  </si>
  <si>
    <t xml:space="preserve">Order-compliance monitor</t>
  </si>
  <si>
    <t xml:space="preserve">Protection-order breach detection and alerts</t>
  </si>
  <si>
    <t xml:space="preserve">D11-13</t>
  </si>
  <si>
    <t xml:space="preserve">Abduction-travel alert</t>
  </si>
  <si>
    <t xml:space="preserve">Flags travel bookings in parental-abduction cases</t>
  </si>
  <si>
    <t xml:space="preserve">D11-14</t>
  </si>
  <si>
    <t xml:space="preserve">Baby-hatch protocol agent</t>
  </si>
  <si>
    <t xml:space="preserve">Instant response coordination for abandoned infants</t>
  </si>
  <si>
    <t xml:space="preserve">D11-15</t>
  </si>
  <si>
    <t xml:space="preserve">Vulnerability registry</t>
  </si>
  <si>
    <t xml:space="preserve">Opt-in special-needs registry for emergency context</t>
  </si>
  <si>
    <t xml:space="preserve">D11-16</t>
  </si>
  <si>
    <t xml:space="preserve">Nanny-vetting advisor</t>
  </si>
  <si>
    <t xml:space="preserve">Safe-hiring guidance with verified-agency checks</t>
  </si>
  <si>
    <t xml:space="preserve">D11-17</t>
  </si>
  <si>
    <t xml:space="preserve">Men's support line agent</t>
  </si>
  <si>
    <t xml:space="preserve">Confidential support channel for male victims</t>
  </si>
  <si>
    <t xml:space="preserve">D11-18</t>
  </si>
  <si>
    <t xml:space="preserve">Post-incident counselor</t>
  </si>
  <si>
    <t xml:space="preserve">Follow-up wellbeing check-ins for affected families</t>
  </si>
  <si>
    <t xml:space="preserve">D11-19</t>
  </si>
  <si>
    <t xml:space="preserve">Youth mentor matcher</t>
  </si>
  <si>
    <t xml:space="preserve">Connects at-risk youth to Hemaya mentors</t>
  </si>
  <si>
    <t xml:space="preserve">D11-20</t>
  </si>
  <si>
    <t xml:space="preserve">Kids safety educator</t>
  </si>
  <si>
    <t xml:space="preserve">Interactive school-program content on safety basics</t>
  </si>
  <si>
    <t xml:space="preserve">D12-01</t>
  </si>
  <si>
    <t xml:space="preserve">Corrections &amp; Rehabilitation</t>
  </si>
  <si>
    <t xml:space="preserve">Intake classifier</t>
  </si>
  <si>
    <t xml:space="preserve">Risk and needs assessment drafts for human review</t>
  </si>
  <si>
    <t xml:space="preserve">D12-02</t>
  </si>
  <si>
    <t xml:space="preserve">Visit scheduler</t>
  </si>
  <si>
    <t xml:space="preserve">Family and lawyer visits with security screening</t>
  </si>
  <si>
    <t xml:space="preserve">D12-03</t>
  </si>
  <si>
    <t xml:space="preserve">Remote-hearing agent</t>
  </si>
  <si>
    <t xml:space="preserve">Coordinates court video links and case documents</t>
  </si>
  <si>
    <t xml:space="preserve">D12-04</t>
  </si>
  <si>
    <t xml:space="preserve">Sentence calculator</t>
  </si>
  <si>
    <t xml:space="preserve">Transparent sentence and parole eligibility tracking</t>
  </si>
  <si>
    <t xml:space="preserve">D12-05</t>
  </si>
  <si>
    <t xml:space="preserve">Education matcher</t>
  </si>
  <si>
    <t xml:space="preserve">Inmate upskilling paths with certifying bodies</t>
  </si>
  <si>
    <t xml:space="preserve">D12-06</t>
  </si>
  <si>
    <t xml:space="preserve">Vocational pipeline agent</t>
  </si>
  <si>
    <t xml:space="preserve">Links workshop skills to real employers</t>
  </si>
  <si>
    <t xml:space="preserve">D12-07</t>
  </si>
  <si>
    <t xml:space="preserve">Reintegration planner</t>
  </si>
  <si>
    <t xml:space="preserve">Housing, job and mentor orchestration before release</t>
  </si>
  <si>
    <t xml:space="preserve">D12-08</t>
  </si>
  <si>
    <t xml:space="preserve">Contraband-signal agent</t>
  </si>
  <si>
    <t xml:space="preserve">Call and visit pattern anomalies for human review</t>
  </si>
  <si>
    <t xml:space="preserve">D12-09</t>
  </si>
  <si>
    <t xml:space="preserve">Health triage agent</t>
  </si>
  <si>
    <t xml:space="preserve">Complaints to clinic scheduling with urgent flags</t>
  </si>
  <si>
    <t xml:space="preserve">D12-10</t>
  </si>
  <si>
    <t xml:space="preserve">Suicide-watch sentinel</t>
  </si>
  <si>
    <t xml:space="preserve">Wellbeing indicators alert human watchers immediately</t>
  </si>
  <si>
    <t xml:space="preserve">D12-11</t>
  </si>
  <si>
    <t xml:space="preserve">Rehab-program matcher</t>
  </si>
  <si>
    <t xml:space="preserve">Addiction program matching and progress tracking</t>
  </si>
  <si>
    <t xml:space="preserve">D12-12</t>
  </si>
  <si>
    <t xml:space="preserve">Bracelet-monitor agent</t>
  </si>
  <si>
    <t xml:space="preserve">E-tag violation triage and response dispatch</t>
  </si>
  <si>
    <t xml:space="preserve">D12-13</t>
  </si>
  <si>
    <t xml:space="preserve">Community-service placer</t>
  </si>
  <si>
    <t xml:space="preserve">Matches offenders to NGO and community work</t>
  </si>
  <si>
    <t xml:space="preserve">D12-14</t>
  </si>
  <si>
    <t xml:space="preserve">Fine-installer agent</t>
  </si>
  <si>
    <t xml:space="preserve">Installment plans as an alternative to jail for debt cases</t>
  </si>
  <si>
    <t xml:space="preserve">D12-15</t>
  </si>
  <si>
    <t xml:space="preserve">Juvenile-diversion agent</t>
  </si>
  <si>
    <t xml:space="preserve">Education-first pathways instead of prosecution</t>
  </si>
  <si>
    <t xml:space="preserve">D12-16</t>
  </si>
  <si>
    <t xml:space="preserve">Family-contact agent</t>
  </si>
  <si>
    <t xml:space="preserve">Video-call bookings with translation support</t>
  </si>
  <si>
    <t xml:space="preserve">D12-17</t>
  </si>
  <si>
    <t xml:space="preserve">Legal-aid matcher</t>
  </si>
  <si>
    <t xml:space="preserve">Pro bono lawyer matching by case type</t>
  </si>
  <si>
    <t xml:space="preserve">D12-18</t>
  </si>
  <si>
    <t xml:space="preserve">Post-release pipeline</t>
  </si>
  <si>
    <t xml:space="preserve">Employment pipeline with employer partners</t>
  </si>
  <si>
    <t xml:space="preserve">D12-19</t>
  </si>
  <si>
    <t xml:space="preserve">Recidivism sentinel</t>
  </si>
  <si>
    <t xml:space="preserve">Community-corrections early-warning indicators</t>
  </si>
  <si>
    <t xml:space="preserve">D12-20</t>
  </si>
  <si>
    <t xml:space="preserve">Hearing interpreter agent</t>
  </si>
  <si>
    <t xml:space="preserve">50+ language support for hearings and interviews</t>
  </si>
  <si>
    <t xml:space="preserve">D13-01</t>
  </si>
  <si>
    <t xml:space="preserve">Major Events &amp; VIP Protection</t>
  </si>
  <si>
    <t xml:space="preserve">Event risk profiler</t>
  </si>
  <si>
    <t xml:space="preserve">Auto-drafts security plans from event metadata</t>
  </si>
  <si>
    <t xml:space="preserve">D13-02</t>
  </si>
  <si>
    <t xml:space="preserve">Crowd-flow simulator</t>
  </si>
  <si>
    <t xml:space="preserve">Entry and exit modeling with egress warnings</t>
  </si>
  <si>
    <t xml:space="preserve">D13-03</t>
  </si>
  <si>
    <t xml:space="preserve">VIP route planner</t>
  </si>
  <si>
    <t xml:space="preserve">Traffic plus threat overlay for secure routes</t>
  </si>
  <si>
    <t xml:space="preserve">D13-04</t>
  </si>
  <si>
    <t xml:space="preserve">Anti-drone shield</t>
  </si>
  <si>
    <t xml:space="preserve">Detects and neutralizes unauthorized drones over events</t>
  </si>
  <si>
    <t xml:space="preserve">D13-05</t>
  </si>
  <si>
    <t xml:space="preserve">Tout monitor</t>
  </si>
  <si>
    <t xml:space="preserve">Scalper and tout detection across resale platforms</t>
  </si>
  <si>
    <t xml:space="preserve">D13-06</t>
  </si>
  <si>
    <t xml:space="preserve">Credential-fraud agent</t>
  </si>
  <si>
    <t xml:space="preserve">Fake staff-pass detection at venue gates</t>
  </si>
  <si>
    <t xml:space="preserve">D13-07</t>
  </si>
  <si>
    <t xml:space="preserve">Chatter monitor</t>
  </si>
  <si>
    <t xml:space="preserve">Pre-event threat scanning of open sources</t>
  </si>
  <si>
    <t xml:space="preserve">D13-08</t>
  </si>
  <si>
    <t xml:space="preserve">Mega lost-child desk</t>
  </si>
  <si>
    <t xml:space="preserve">Reunification operations at 100k+ visitor events</t>
  </si>
  <si>
    <t xml:space="preserve">D13-09</t>
  </si>
  <si>
    <t xml:space="preserve">Egress decision support</t>
  </si>
  <si>
    <t xml:space="preserve">Live recommendations during evacuations</t>
  </si>
  <si>
    <t xml:space="preserve">D13-10</t>
  </si>
  <si>
    <t xml:space="preserve">Unified SITREP agent</t>
  </si>
  <si>
    <t xml:space="preserve">Multi-agency briefs every 30 minutes during events</t>
  </si>
  <si>
    <t xml:space="preserve">D13-11</t>
  </si>
  <si>
    <t xml:space="preserve">Staff-vetting pipeline</t>
  </si>
  <si>
    <t xml:space="preserve">Background checks for event staff at scale</t>
  </si>
  <si>
    <t xml:space="preserve">D13-12</t>
  </si>
  <si>
    <t xml:space="preserve">Pyro-compliance agent</t>
  </si>
  <si>
    <t xml:space="preserve">Fireworks safety checks and permit workflows</t>
  </si>
  <si>
    <t xml:space="preserve">D13-13</t>
  </si>
  <si>
    <t xml:space="preserve">Medical-surge predictor</t>
  </si>
  <si>
    <t xml:space="preserve">Posts staffing by weather and crowd forecasts</t>
  </si>
  <si>
    <t xml:space="preserve">D13-14</t>
  </si>
  <si>
    <t xml:space="preserve">Dispersal traffic agent</t>
  </si>
  <si>
    <t xml:space="preserve">After-event exit orchestration with RTA</t>
  </si>
  <si>
    <t xml:space="preserve">D13-15</t>
  </si>
  <si>
    <t xml:space="preserve">Assembly facilitator</t>
  </si>
  <si>
    <t xml:space="preserve">Permitted-assembly route planning and coordination</t>
  </si>
  <si>
    <t xml:space="preserve">D13-16</t>
  </si>
  <si>
    <t xml:space="preserve">Residence security agent</t>
  </si>
  <si>
    <t xml:space="preserve">VIP-residence check scheduling and audits</t>
  </si>
  <si>
    <t xml:space="preserve">D13-17</t>
  </si>
  <si>
    <t xml:space="preserve">Motorcade guardian</t>
  </si>
  <si>
    <t xml:space="preserve">Live disruption monitoring along secure routes</t>
  </si>
  <si>
    <t xml:space="preserve">D13-18</t>
  </si>
  <si>
    <t xml:space="preserve">Fan-zone governor</t>
  </si>
  <si>
    <t xml:space="preserve">Capacity control with staggered entry</t>
  </si>
  <si>
    <t xml:space="preserve">D13-19</t>
  </si>
  <si>
    <t xml:space="preserve">Protocol liaison agent</t>
  </si>
  <si>
    <t xml:space="preserve">Delegation arrival coordination and clearances</t>
  </si>
  <si>
    <t xml:space="preserve">D13-20</t>
  </si>
  <si>
    <t xml:space="preserve">After-action writer</t>
  </si>
  <si>
    <t xml:space="preserve">Auto-compiles lessons-learned reports</t>
  </si>
  <si>
    <t xml:space="preserve">D14-01</t>
  </si>
  <si>
    <t xml:space="preserve">Internal Operations &amp; Support</t>
  </si>
  <si>
    <t xml:space="preserve">Roster optimizer</t>
  </si>
  <si>
    <t xml:space="preserve">Fatigue-aware shift scheduling across units</t>
  </si>
  <si>
    <t xml:space="preserve">D14-02</t>
  </si>
  <si>
    <t xml:space="preserve">Recruitment screener</t>
  </si>
  <si>
    <t xml:space="preserve">Application triage with structured scoring</t>
  </si>
  <si>
    <t xml:space="preserve">D14-03</t>
  </si>
  <si>
    <t xml:space="preserve">Training recommender</t>
  </si>
  <si>
    <t xml:space="preserve">Per-officer skill-gap learning paths</t>
  </si>
  <si>
    <t xml:space="preserve">D14-04</t>
  </si>
  <si>
    <t xml:space="preserve">Fleet-health agent</t>
  </si>
  <si>
    <t xml:space="preserve">Patrol vehicle predictive maintenance</t>
  </si>
  <si>
    <t xml:space="preserve">D14-05</t>
  </si>
  <si>
    <t xml:space="preserve">Media-cost optimizer</t>
  </si>
  <si>
    <t xml:space="preserve">Bodycam storage tiering and retention policy</t>
  </si>
  <si>
    <t xml:space="preserve">D14-06</t>
  </si>
  <si>
    <t xml:space="preserve">Armory sentinel</t>
  </si>
  <si>
    <t xml:space="preserve">Weapon and ammunition inventory integrity checks</t>
  </si>
  <si>
    <t xml:space="preserve">D14-07</t>
  </si>
  <si>
    <t xml:space="preserve">K9-welfare agent</t>
  </si>
  <si>
    <t xml:space="preserve">Health and deployment balance for K9 teams</t>
  </si>
  <si>
    <t xml:space="preserve">D14-08</t>
  </si>
  <si>
    <t xml:space="preserve">Mounted-unit tracker</t>
  </si>
  <si>
    <t xml:space="preserve">Horse welfare, vetting and duty logs</t>
  </si>
  <si>
    <t xml:space="preserve">D14-09</t>
  </si>
  <si>
    <t xml:space="preserve">Marine readiness agent</t>
  </si>
  <si>
    <t xml:space="preserve">Vessel maintenance and crew certification tracking</t>
  </si>
  <si>
    <t xml:space="preserve">D14-10</t>
  </si>
  <si>
    <t xml:space="preserve">Heli-maintenance agent</t>
  </si>
  <si>
    <t xml:space="preserve">Air-wing maintenance and flight-hour tracking</t>
  </si>
  <si>
    <t xml:space="preserve">D14-11</t>
  </si>
  <si>
    <t xml:space="preserve">Payroll anomaly agent</t>
  </si>
  <si>
    <t xml:space="preserve">Overtime anomaly and error detection</t>
  </si>
  <si>
    <t xml:space="preserve">D14-12</t>
  </si>
  <si>
    <t xml:space="preserve">Ethics intake agent</t>
  </si>
  <si>
    <t xml:space="preserve">Confidential internal complaints channel</t>
  </si>
  <si>
    <t xml:space="preserve">D14-13</t>
  </si>
  <si>
    <t xml:space="preserve">Promotion-prep agent</t>
  </si>
  <si>
    <t xml:space="preserve">Board records compilation and eligibility checks</t>
  </si>
  <si>
    <t xml:space="preserve">D14-14</t>
  </si>
  <si>
    <t xml:space="preserve">Officer-welfare agent</t>
  </si>
  <si>
    <t xml:space="preserve">Housing and welfare request tracking</t>
  </si>
  <si>
    <t xml:space="preserve">D14-15</t>
  </si>
  <si>
    <t xml:space="preserve">Translator agent</t>
  </si>
  <si>
    <t xml:space="preserve">Internal documents across 50+ languages</t>
  </si>
  <si>
    <t xml:space="preserve">D14-16</t>
  </si>
  <si>
    <t xml:space="preserve">SOP copilot</t>
  </si>
  <si>
    <t xml:space="preserve">Ask-any-question policy and procedures assistant</t>
  </si>
  <si>
    <t xml:space="preserve">D14-17</t>
  </si>
  <si>
    <t xml:space="preserve">Spend analyzer</t>
  </si>
  <si>
    <t xml:space="preserve">Procurement pattern and savings detection</t>
  </si>
  <si>
    <t xml:space="preserve">D14-18</t>
  </si>
  <si>
    <t xml:space="preserve">Fitness nudger</t>
  </si>
  <si>
    <t xml:space="preserve">Health-KPI reminders and program matching</t>
  </si>
  <si>
    <t xml:space="preserve">D14-19</t>
  </si>
  <si>
    <t xml:space="preserve">Shift-swap agent</t>
  </si>
  <si>
    <t xml:space="preserve">Rule-based auto-approved peer shift swaps</t>
  </si>
  <si>
    <t xml:space="preserve">D14-20</t>
  </si>
  <si>
    <t xml:space="preserve">Commander daily brief</t>
  </si>
  <si>
    <t xml:space="preserve">KPIs, incidents and risks each morning</t>
  </si>
  <si>
    <t xml:space="preserve">D15-01</t>
  </si>
  <si>
    <t xml:space="preserve">Intelligence, Prediction &amp; Command (2040)</t>
  </si>
  <si>
    <t xml:space="preserve">City-risk thermostat</t>
  </si>
  <si>
    <t xml:space="preserve">Daily threat-index map across districts</t>
  </si>
  <si>
    <t xml:space="preserve">D15-02</t>
  </si>
  <si>
    <t xml:space="preserve">Predictive-patrol advisor</t>
  </si>
  <si>
    <t xml:space="preserve">Hotspot recommendations with bias audits</t>
  </si>
  <si>
    <t xml:space="preserve">D15-03</t>
  </si>
  <si>
    <t xml:space="preserve">Seasonal forecaster</t>
  </si>
  <si>
    <t xml:space="preserve">Ramadan, NYE and summer crime pattern forecasts</t>
  </si>
  <si>
    <t xml:space="preserve">D15-04</t>
  </si>
  <si>
    <t xml:space="preserve">New-crime detector</t>
  </si>
  <si>
    <t xml:space="preserve">Anomaly alerts when new crime types emerge</t>
  </si>
  <si>
    <t xml:space="preserve">D15-05</t>
  </si>
  <si>
    <t xml:space="preserve">Fusion analyst</t>
  </si>
  <si>
    <t xml:space="preserve">Cross-entity intelligence merging and de-duplication</t>
  </si>
  <si>
    <t xml:space="preserve">D15-06</t>
  </si>
  <si>
    <t xml:space="preserve">OSINT monitor</t>
  </si>
  <si>
    <t xml:space="preserve">Open-source monitoring for emerging city risks</t>
  </si>
  <si>
    <t xml:space="preserve">D15-07</t>
  </si>
  <si>
    <t xml:space="preserve">Trust tracker</t>
  </si>
  <si>
    <t xml:space="preserve">Community sentiment and trust metrics</t>
  </si>
  <si>
    <t xml:space="preserve">D15-08</t>
  </si>
  <si>
    <t xml:space="preserve">Tip-intake agent</t>
  </si>
  <si>
    <t xml:space="preserve">Confidential tips with priority scoring</t>
  </si>
  <si>
    <t xml:space="preserve">D15-09</t>
  </si>
  <si>
    <t xml:space="preserve">Repeat-victim guardian</t>
  </si>
  <si>
    <t xml:space="preserve">Flags repeat victims for preventive visits</t>
  </si>
  <si>
    <t xml:space="preserve">D15-10</t>
  </si>
  <si>
    <t xml:space="preserve">Rehab-success tracker</t>
  </si>
  <si>
    <t xml:space="preserve">Post-rehabilitation outcome monitoring</t>
  </si>
  <si>
    <t xml:space="preserve">D15-11</t>
  </si>
  <si>
    <t xml:space="preserve">Data-quality guardian</t>
  </si>
  <si>
    <t xml:space="preserve">Detects report errors and gaps at the source</t>
  </si>
  <si>
    <t xml:space="preserve">D15-12</t>
  </si>
  <si>
    <t xml:space="preserve">Research-request agent</t>
  </si>
  <si>
    <t xml:space="preserve">Automates academic partnership data requests</t>
  </si>
  <si>
    <t xml:space="preserve">D15-13</t>
  </si>
  <si>
    <t xml:space="preserve">Digital-twin simulator</t>
  </si>
  <si>
    <t xml:space="preserve">What-if scenarios: metro strike, storm surge, grid failure</t>
  </si>
  <si>
    <t xml:space="preserve">D15-14</t>
  </si>
  <si>
    <t xml:space="preserve">Budget-impact agent</t>
  </si>
  <si>
    <t xml:space="preserve">ROI forecasts for new units and technologies</t>
  </si>
  <si>
    <t xml:space="preserve">D15-15</t>
  </si>
  <si>
    <t xml:space="preserve">Statutory-report writer</t>
  </si>
  <si>
    <t xml:space="preserve">Ministry filings compiled automatically</t>
  </si>
  <si>
    <t xml:space="preserve">D15-16</t>
  </si>
  <si>
    <t xml:space="preserve">Comms drafter</t>
  </si>
  <si>
    <t xml:space="preserve">Incident media-response drafts for approval</t>
  </si>
  <si>
    <t xml:space="preserve">D15-17</t>
  </si>
  <si>
    <t xml:space="preserve">Long-term matcher</t>
  </si>
  <si>
    <t xml:space="preserve">Years-later unidentified remains and person matching</t>
  </si>
  <si>
    <t xml:space="preserve">D15-18</t>
  </si>
  <si>
    <t xml:space="preserve">Inspection planner</t>
  </si>
  <si>
    <t xml:space="preserve">Risk-based venue and premises inspection plans</t>
  </si>
  <si>
    <t xml:space="preserve">D15-19</t>
  </si>
  <si>
    <t xml:space="preserve">Innovation scout</t>
  </si>
  <si>
    <t xml:space="preserve">Scans global police-tech developments weekly</t>
  </si>
  <si>
    <t xml:space="preserve">D15-20</t>
  </si>
  <si>
    <t xml:space="preserve">Model-governance agent</t>
  </si>
  <si>
    <t xml:space="preserve">Monitors all police AI models for drift and bias</t>
  </si>
  <si>
    <t xml:space="preserve">Source: reconstruction mapped to Dubai Police services and its announced 2040 AI opportunities, aligned with the DCAI Agentic AI for Government Services Accelerator (33 entities, 300+ public-facing use cases, Oct 2026).</t>
  </si>
  <si>
    <t xml:space="preserve">Top 10 Championship Picks (External-Facing, Demo-Ready)</t>
  </si>
  <si>
    <t xml:space="preserve">Rank</t>
  </si>
  <si>
    <t xml:space="preserve">Ref ID</t>
  </si>
  <si>
    <t xml:space="preserve">Category</t>
  </si>
  <si>
    <t xml:space="preserve">Why It Wins</t>
  </si>
  <si>
    <t xml:space="preserve">Life-saving and discreet; a 3-minute demo judges never forget. Strong Societal story.</t>
  </si>
  <si>
    <t xml:space="preserve">Orchestrates the amber protocol end-to-end; high-drama live demo with clear public value.</t>
  </si>
  <si>
    <t xml:space="preserve">Everyone has fines — instant 'aha'. Measurable AED saved per user; Personal-category star.</t>
  </si>
  <si>
    <t xml:space="preserve">Universal pain point; time-saved metric is easy to baseline and prove.</t>
  </si>
  <si>
    <t xml:space="preserve">Serves 17M+ visitors; multilingual wow factor, perfectly on Dubai's strategy.</t>
  </si>
  <si>
    <t xml:space="preserve">Fraud is the city's top concern; live block-and-warn demo lands immediately.</t>
  </si>
  <si>
    <t xml:space="preserve">Emotionally powerful, discreet chat demo; strong fit for Societal or Youth track.</t>
  </si>
  <si>
    <t xml:space="preserve">Pure 'anticipatory government' narrative — the agent acts before the loss happens.</t>
  </si>
  <si>
    <t xml:space="preserve">Best Youth-category entry; school partnerships make a real pilot achievable in weeks.</t>
  </si>
  <si>
    <t xml:space="preserve">Anticipatory plus human warmth; ends your demo on a story judges remember.</t>
  </si>
  <si>
    <t xml:space="preserve">Selection lens: external-facing, high community impact, prototype-able in weeks, and aligned with the Championship judging criteria (real challenge, tested impact, scalable venture).</t>
  </si>
  <si>
    <t xml:space="preserve">Domain Summary — Live Counts from Catalog</t>
  </si>
  <si>
    <t xml:space="preserve">Total</t>
  </si>
  <si>
    <t xml:space="preserve">High Impact</t>
  </si>
  <si>
    <t xml:space="preserve">Easy Prototype</t>
  </si>
  <si>
    <t xml:space="preserve">Counts are live COUNTIF formulas over the catalog sheet; totals must equal 300.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</si>
</sst>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 CJK SC"/>
      <family val="0"/>
      <charset val="1"/>
    </font>
    <font>
      <sz val="11"/>
      <color rgb="FFFFFFFF"/>
      <name val="Noto Sans CJK SC"/>
      <family val="0"/>
      <charset val="1"/>
    </font>
    <font>
      <sz val="11"/>
      <color rgb="FF37352F"/>
      <name val="Noto Sans CJK SC"/>
      <family val="0"/>
      <charset val="1"/>
    </font>
    <font>
      <sz val="11"/>
      <color rgb="FF1B7D46"/>
      <name val="Noto Sans CJK SC"/>
      <family val="0"/>
      <charset val="1"/>
    </font>
    <font>
      <sz val="11"/>
      <color rgb="FFD4820A"/>
      <name val="Noto Sans CJK SC"/>
      <family val="0"/>
      <charset val="1"/>
    </font>
    <font>
      <sz val="9"/>
      <color rgb="FF8C8A84"/>
      <name val="Noto Sans CJK SC"/>
      <family val="0"/>
      <charset val="1"/>
    </font>
    <font>
      <sz val="11"/>
      <color rgb="FF1B2A4A"/>
      <name val="Noto Sans CJK SC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B2A4A"/>
          <bgColor rgb="FF000000"/>
        </patternFill>
      </fill>
    </dxf>
    <dxf>
      <fill>
        <patternFill patternType="solid">
          <fgColor rgb="FFF7F7F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7352F"/>
          <bgColor rgb="FF000000"/>
        </patternFill>
      </fill>
    </dxf>
    <dxf>
      <fill>
        <patternFill patternType="solid">
          <fgColor rgb="FF1B7D46"/>
          <bgColor rgb="FF000000"/>
        </patternFill>
      </fill>
    </dxf>
    <dxf>
      <fill>
        <patternFill patternType="solid">
          <fgColor rgb="FFD4820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E9E9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4" min="3" style="1" width="26"/>
    <col collapsed="false" customWidth="true" hidden="false" outlineLevel="0" max="5" min="5" style="1" width="56"/>
    <col collapsed="false" customWidth="true" hidden="false" outlineLevel="0" max="6" min="6" style="1" width="15"/>
    <col collapsed="false" customWidth="true" hidden="false" outlineLevel="0" max="7" min="7" style="1" width="10"/>
    <col collapsed="false" customWidth="true" hidden="false" outlineLevel="0" max="8" min="8" style="1" width="9"/>
    <col collapsed="false" customWidth="true" hidden="false" outlineLevel="0" max="10" min="9" style="1" width="13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</row>
    <row r="3" customFormat="false" ht="7.5" hidden="false" customHeight="true" outlineLevel="0" collapsed="false"/>
    <row r="4" customFormat="false" ht="27.75" hidden="false" customHeight="true" outlineLevel="0" collapsed="false"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</row>
    <row r="5" customFormat="false" ht="30" hidden="false" customHeight="true" outlineLevel="0" collapsed="false">
      <c r="B5" s="4" t="s">
        <v>10</v>
      </c>
      <c r="C5" s="4" t="s">
        <v>11</v>
      </c>
      <c r="D5" s="4" t="s">
        <v>12</v>
      </c>
      <c r="E5" s="4" t="s">
        <v>13</v>
      </c>
      <c r="F5" s="4" t="s">
        <v>14</v>
      </c>
      <c r="G5" s="4" t="s">
        <v>15</v>
      </c>
      <c r="H5" s="5" t="s">
        <v>16</v>
      </c>
      <c r="I5" s="4" t="s">
        <v>17</v>
      </c>
      <c r="J5" s="4" t="s">
        <v>18</v>
      </c>
    </row>
    <row r="6" customFormat="false" ht="30" hidden="false" customHeight="true" outlineLevel="0" collapsed="false">
      <c r="B6" s="6" t="s">
        <v>19</v>
      </c>
      <c r="C6" s="6" t="s">
        <v>11</v>
      </c>
      <c r="D6" s="6" t="s">
        <v>20</v>
      </c>
      <c r="E6" s="6" t="s">
        <v>21</v>
      </c>
      <c r="F6" s="6" t="s">
        <v>14</v>
      </c>
      <c r="G6" s="6" t="s">
        <v>15</v>
      </c>
      <c r="H6" s="7" t="s">
        <v>16</v>
      </c>
      <c r="I6" s="7" t="s">
        <v>22</v>
      </c>
      <c r="J6" s="6" t="s">
        <v>18</v>
      </c>
    </row>
    <row r="7" customFormat="false" ht="30" hidden="false" customHeight="true" outlineLevel="0" collapsed="false">
      <c r="B7" s="4" t="s">
        <v>23</v>
      </c>
      <c r="C7" s="4" t="s">
        <v>11</v>
      </c>
      <c r="D7" s="4" t="s">
        <v>24</v>
      </c>
      <c r="E7" s="4" t="s">
        <v>25</v>
      </c>
      <c r="F7" s="4" t="s">
        <v>14</v>
      </c>
      <c r="G7" s="4" t="s">
        <v>15</v>
      </c>
      <c r="H7" s="5" t="s">
        <v>16</v>
      </c>
      <c r="I7" s="5" t="s">
        <v>22</v>
      </c>
      <c r="J7" s="4" t="s">
        <v>18</v>
      </c>
    </row>
    <row r="8" customFormat="false" ht="30" hidden="false" customHeight="true" outlineLevel="0" collapsed="false">
      <c r="B8" s="6" t="s">
        <v>26</v>
      </c>
      <c r="C8" s="6" t="s">
        <v>11</v>
      </c>
      <c r="D8" s="6" t="s">
        <v>27</v>
      </c>
      <c r="E8" s="6" t="s">
        <v>28</v>
      </c>
      <c r="F8" s="6" t="s">
        <v>29</v>
      </c>
      <c r="G8" s="6" t="s">
        <v>30</v>
      </c>
      <c r="H8" s="7" t="s">
        <v>16</v>
      </c>
      <c r="I8" s="6" t="s">
        <v>17</v>
      </c>
      <c r="J8" s="6" t="s">
        <v>31</v>
      </c>
    </row>
    <row r="9" customFormat="false" ht="30" hidden="false" customHeight="true" outlineLevel="0" collapsed="false">
      <c r="B9" s="4" t="s">
        <v>32</v>
      </c>
      <c r="C9" s="4" t="s">
        <v>11</v>
      </c>
      <c r="D9" s="4" t="s">
        <v>33</v>
      </c>
      <c r="E9" s="4" t="s">
        <v>34</v>
      </c>
      <c r="F9" s="4" t="s">
        <v>35</v>
      </c>
      <c r="G9" s="4" t="s">
        <v>30</v>
      </c>
      <c r="H9" s="5" t="s">
        <v>16</v>
      </c>
      <c r="I9" s="4" t="s">
        <v>17</v>
      </c>
      <c r="J9" s="4" t="s">
        <v>31</v>
      </c>
    </row>
    <row r="10" customFormat="false" ht="30" hidden="false" customHeight="true" outlineLevel="0" collapsed="false">
      <c r="B10" s="6" t="s">
        <v>36</v>
      </c>
      <c r="C10" s="6" t="s">
        <v>11</v>
      </c>
      <c r="D10" s="6" t="s">
        <v>37</v>
      </c>
      <c r="E10" s="6" t="s">
        <v>38</v>
      </c>
      <c r="F10" s="6" t="s">
        <v>14</v>
      </c>
      <c r="G10" s="6" t="s">
        <v>15</v>
      </c>
      <c r="H10" s="7" t="s">
        <v>16</v>
      </c>
      <c r="I10" s="7" t="s">
        <v>22</v>
      </c>
      <c r="J10" s="6" t="s">
        <v>18</v>
      </c>
    </row>
    <row r="11" customFormat="false" ht="30" hidden="false" customHeight="true" outlineLevel="0" collapsed="false">
      <c r="B11" s="4" t="s">
        <v>39</v>
      </c>
      <c r="C11" s="4" t="s">
        <v>11</v>
      </c>
      <c r="D11" s="4" t="s">
        <v>40</v>
      </c>
      <c r="E11" s="4" t="s">
        <v>41</v>
      </c>
      <c r="F11" s="4" t="s">
        <v>29</v>
      </c>
      <c r="G11" s="4" t="s">
        <v>30</v>
      </c>
      <c r="H11" s="4" t="s">
        <v>17</v>
      </c>
      <c r="I11" s="5" t="s">
        <v>22</v>
      </c>
      <c r="J11" s="4" t="s">
        <v>31</v>
      </c>
    </row>
    <row r="12" customFormat="false" ht="30" hidden="false" customHeight="true" outlineLevel="0" collapsed="false">
      <c r="B12" s="6" t="s">
        <v>42</v>
      </c>
      <c r="C12" s="6" t="s">
        <v>11</v>
      </c>
      <c r="D12" s="6" t="s">
        <v>43</v>
      </c>
      <c r="E12" s="6" t="s">
        <v>44</v>
      </c>
      <c r="F12" s="6" t="s">
        <v>29</v>
      </c>
      <c r="G12" s="6" t="s">
        <v>30</v>
      </c>
      <c r="H12" s="7" t="s">
        <v>16</v>
      </c>
      <c r="I12" s="6" t="s">
        <v>17</v>
      </c>
      <c r="J12" s="6" t="s">
        <v>31</v>
      </c>
    </row>
    <row r="13" customFormat="false" ht="30" hidden="false" customHeight="true" outlineLevel="0" collapsed="false">
      <c r="B13" s="4" t="s">
        <v>45</v>
      </c>
      <c r="C13" s="4" t="s">
        <v>11</v>
      </c>
      <c r="D13" s="4" t="s">
        <v>46</v>
      </c>
      <c r="E13" s="4" t="s">
        <v>47</v>
      </c>
      <c r="F13" s="4" t="s">
        <v>35</v>
      </c>
      <c r="G13" s="4" t="s">
        <v>30</v>
      </c>
      <c r="H13" s="5" t="s">
        <v>16</v>
      </c>
      <c r="I13" s="4" t="s">
        <v>17</v>
      </c>
      <c r="J13" s="4" t="s">
        <v>18</v>
      </c>
    </row>
    <row r="14" customFormat="false" ht="30" hidden="false" customHeight="true" outlineLevel="0" collapsed="false">
      <c r="B14" s="6" t="s">
        <v>48</v>
      </c>
      <c r="C14" s="6" t="s">
        <v>11</v>
      </c>
      <c r="D14" s="6" t="s">
        <v>49</v>
      </c>
      <c r="E14" s="6" t="s">
        <v>50</v>
      </c>
      <c r="F14" s="6" t="s">
        <v>51</v>
      </c>
      <c r="G14" s="6" t="s">
        <v>15</v>
      </c>
      <c r="H14" s="7" t="s">
        <v>16</v>
      </c>
      <c r="I14" s="6" t="s">
        <v>17</v>
      </c>
      <c r="J14" s="6" t="s">
        <v>18</v>
      </c>
    </row>
    <row r="15" customFormat="false" ht="30" hidden="false" customHeight="true" outlineLevel="0" collapsed="false">
      <c r="B15" s="4" t="s">
        <v>52</v>
      </c>
      <c r="C15" s="4" t="s">
        <v>11</v>
      </c>
      <c r="D15" s="4" t="s">
        <v>53</v>
      </c>
      <c r="E15" s="4" t="s">
        <v>54</v>
      </c>
      <c r="F15" s="4" t="s">
        <v>14</v>
      </c>
      <c r="G15" s="4" t="s">
        <v>15</v>
      </c>
      <c r="H15" s="5" t="s">
        <v>16</v>
      </c>
      <c r="I15" s="5" t="s">
        <v>22</v>
      </c>
      <c r="J15" s="4" t="s">
        <v>18</v>
      </c>
    </row>
    <row r="16" customFormat="false" ht="30" hidden="false" customHeight="true" outlineLevel="0" collapsed="false">
      <c r="B16" s="6" t="s">
        <v>55</v>
      </c>
      <c r="C16" s="6" t="s">
        <v>11</v>
      </c>
      <c r="D16" s="6" t="s">
        <v>56</v>
      </c>
      <c r="E16" s="6" t="s">
        <v>57</v>
      </c>
      <c r="F16" s="6" t="s">
        <v>58</v>
      </c>
      <c r="G16" s="6" t="s">
        <v>30</v>
      </c>
      <c r="H16" s="6" t="s">
        <v>17</v>
      </c>
      <c r="I16" s="8" t="s">
        <v>59</v>
      </c>
      <c r="J16" s="6" t="s">
        <v>31</v>
      </c>
    </row>
    <row r="17" customFormat="false" ht="30" hidden="false" customHeight="true" outlineLevel="0" collapsed="false">
      <c r="B17" s="4" t="s">
        <v>60</v>
      </c>
      <c r="C17" s="4" t="s">
        <v>11</v>
      </c>
      <c r="D17" s="4" t="s">
        <v>61</v>
      </c>
      <c r="E17" s="4" t="s">
        <v>62</v>
      </c>
      <c r="F17" s="4" t="s">
        <v>58</v>
      </c>
      <c r="G17" s="4" t="s">
        <v>30</v>
      </c>
      <c r="H17" s="4" t="s">
        <v>17</v>
      </c>
      <c r="I17" s="9" t="s">
        <v>59</v>
      </c>
      <c r="J17" s="4" t="s">
        <v>31</v>
      </c>
    </row>
    <row r="18" customFormat="false" ht="30" hidden="false" customHeight="true" outlineLevel="0" collapsed="false">
      <c r="B18" s="6" t="s">
        <v>63</v>
      </c>
      <c r="C18" s="6" t="s">
        <v>11</v>
      </c>
      <c r="D18" s="6" t="s">
        <v>64</v>
      </c>
      <c r="E18" s="6" t="s">
        <v>65</v>
      </c>
      <c r="F18" s="6" t="s">
        <v>58</v>
      </c>
      <c r="G18" s="6" t="s">
        <v>15</v>
      </c>
      <c r="H18" s="7" t="s">
        <v>16</v>
      </c>
      <c r="I18" s="8" t="s">
        <v>59</v>
      </c>
      <c r="J18" s="6" t="s">
        <v>18</v>
      </c>
    </row>
    <row r="19" customFormat="false" ht="30" hidden="false" customHeight="true" outlineLevel="0" collapsed="false">
      <c r="B19" s="4" t="s">
        <v>66</v>
      </c>
      <c r="C19" s="4" t="s">
        <v>11</v>
      </c>
      <c r="D19" s="4" t="s">
        <v>67</v>
      </c>
      <c r="E19" s="4" t="s">
        <v>68</v>
      </c>
      <c r="F19" s="4" t="s">
        <v>51</v>
      </c>
      <c r="G19" s="4" t="s">
        <v>30</v>
      </c>
      <c r="H19" s="5" t="s">
        <v>16</v>
      </c>
      <c r="I19" s="4" t="s">
        <v>17</v>
      </c>
      <c r="J19" s="4" t="s">
        <v>31</v>
      </c>
    </row>
    <row r="20" customFormat="false" ht="30" hidden="false" customHeight="true" outlineLevel="0" collapsed="false">
      <c r="B20" s="6" t="s">
        <v>69</v>
      </c>
      <c r="C20" s="6" t="s">
        <v>11</v>
      </c>
      <c r="D20" s="6" t="s">
        <v>70</v>
      </c>
      <c r="E20" s="6" t="s">
        <v>71</v>
      </c>
      <c r="F20" s="6" t="s">
        <v>58</v>
      </c>
      <c r="G20" s="6" t="s">
        <v>30</v>
      </c>
      <c r="H20" s="6" t="s">
        <v>17</v>
      </c>
      <c r="I20" s="6" t="s">
        <v>17</v>
      </c>
      <c r="J20" s="6" t="s">
        <v>18</v>
      </c>
    </row>
    <row r="21" customFormat="false" ht="30" hidden="false" customHeight="true" outlineLevel="0" collapsed="false">
      <c r="B21" s="4" t="s">
        <v>72</v>
      </c>
      <c r="C21" s="4" t="s">
        <v>11</v>
      </c>
      <c r="D21" s="4" t="s">
        <v>73</v>
      </c>
      <c r="E21" s="4" t="s">
        <v>74</v>
      </c>
      <c r="F21" s="4" t="s">
        <v>29</v>
      </c>
      <c r="G21" s="4" t="s">
        <v>30</v>
      </c>
      <c r="H21" s="5" t="s">
        <v>16</v>
      </c>
      <c r="I21" s="5" t="s">
        <v>22</v>
      </c>
      <c r="J21" s="4" t="s">
        <v>31</v>
      </c>
    </row>
    <row r="22" customFormat="false" ht="30" hidden="false" customHeight="true" outlineLevel="0" collapsed="false">
      <c r="B22" s="6" t="s">
        <v>75</v>
      </c>
      <c r="C22" s="6" t="s">
        <v>11</v>
      </c>
      <c r="D22" s="6" t="s">
        <v>76</v>
      </c>
      <c r="E22" s="6" t="s">
        <v>77</v>
      </c>
      <c r="F22" s="6" t="s">
        <v>14</v>
      </c>
      <c r="G22" s="6" t="s">
        <v>15</v>
      </c>
      <c r="H22" s="6" t="s">
        <v>17</v>
      </c>
      <c r="I22" s="7" t="s">
        <v>22</v>
      </c>
      <c r="J22" s="6" t="s">
        <v>18</v>
      </c>
    </row>
    <row r="23" customFormat="false" ht="30" hidden="false" customHeight="true" outlineLevel="0" collapsed="false">
      <c r="B23" s="4" t="s">
        <v>78</v>
      </c>
      <c r="C23" s="4" t="s">
        <v>11</v>
      </c>
      <c r="D23" s="4" t="s">
        <v>79</v>
      </c>
      <c r="E23" s="4" t="s">
        <v>80</v>
      </c>
      <c r="F23" s="4" t="s">
        <v>51</v>
      </c>
      <c r="G23" s="4" t="s">
        <v>15</v>
      </c>
      <c r="H23" s="5" t="s">
        <v>16</v>
      </c>
      <c r="I23" s="4" t="s">
        <v>17</v>
      </c>
      <c r="J23" s="4" t="s">
        <v>18</v>
      </c>
    </row>
    <row r="24" customFormat="false" ht="30" hidden="false" customHeight="true" outlineLevel="0" collapsed="false">
      <c r="B24" s="6" t="s">
        <v>81</v>
      </c>
      <c r="C24" s="6" t="s">
        <v>11</v>
      </c>
      <c r="D24" s="6" t="s">
        <v>82</v>
      </c>
      <c r="E24" s="6" t="s">
        <v>83</v>
      </c>
      <c r="F24" s="6" t="s">
        <v>29</v>
      </c>
      <c r="G24" s="6" t="s">
        <v>30</v>
      </c>
      <c r="H24" s="6" t="s">
        <v>17</v>
      </c>
      <c r="I24" s="7" t="s">
        <v>22</v>
      </c>
      <c r="J24" s="6" t="s">
        <v>31</v>
      </c>
    </row>
    <row r="25" customFormat="false" ht="30" hidden="false" customHeight="true" outlineLevel="0" collapsed="false">
      <c r="B25" s="4" t="s">
        <v>84</v>
      </c>
      <c r="C25" s="4" t="s">
        <v>85</v>
      </c>
      <c r="D25" s="4" t="s">
        <v>86</v>
      </c>
      <c r="E25" s="4" t="s">
        <v>87</v>
      </c>
      <c r="F25" s="4" t="s">
        <v>58</v>
      </c>
      <c r="G25" s="4" t="s">
        <v>30</v>
      </c>
      <c r="H25" s="5" t="s">
        <v>16</v>
      </c>
      <c r="I25" s="4" t="s">
        <v>17</v>
      </c>
      <c r="J25" s="4" t="s">
        <v>31</v>
      </c>
    </row>
    <row r="26" customFormat="false" ht="30" hidden="false" customHeight="true" outlineLevel="0" collapsed="false">
      <c r="B26" s="6" t="s">
        <v>88</v>
      </c>
      <c r="C26" s="6" t="s">
        <v>85</v>
      </c>
      <c r="D26" s="6" t="s">
        <v>89</v>
      </c>
      <c r="E26" s="6" t="s">
        <v>90</v>
      </c>
      <c r="F26" s="6" t="s">
        <v>35</v>
      </c>
      <c r="G26" s="6" t="s">
        <v>15</v>
      </c>
      <c r="H26" s="6" t="s">
        <v>17</v>
      </c>
      <c r="I26" s="6" t="s">
        <v>17</v>
      </c>
      <c r="J26" s="6" t="s">
        <v>18</v>
      </c>
    </row>
    <row r="27" customFormat="false" ht="30" hidden="false" customHeight="true" outlineLevel="0" collapsed="false">
      <c r="B27" s="4" t="s">
        <v>91</v>
      </c>
      <c r="C27" s="4" t="s">
        <v>85</v>
      </c>
      <c r="D27" s="4" t="s">
        <v>92</v>
      </c>
      <c r="E27" s="4" t="s">
        <v>93</v>
      </c>
      <c r="F27" s="4" t="s">
        <v>35</v>
      </c>
      <c r="G27" s="4" t="s">
        <v>30</v>
      </c>
      <c r="H27" s="5" t="s">
        <v>16</v>
      </c>
      <c r="I27" s="4" t="s">
        <v>17</v>
      </c>
      <c r="J27" s="4" t="s">
        <v>31</v>
      </c>
    </row>
    <row r="28" customFormat="false" ht="30" hidden="false" customHeight="true" outlineLevel="0" collapsed="false">
      <c r="B28" s="6" t="s">
        <v>94</v>
      </c>
      <c r="C28" s="6" t="s">
        <v>85</v>
      </c>
      <c r="D28" s="6" t="s">
        <v>95</v>
      </c>
      <c r="E28" s="6" t="s">
        <v>96</v>
      </c>
      <c r="F28" s="6" t="s">
        <v>97</v>
      </c>
      <c r="G28" s="6" t="s">
        <v>30</v>
      </c>
      <c r="H28" s="7" t="s">
        <v>16</v>
      </c>
      <c r="I28" s="6" t="s">
        <v>17</v>
      </c>
      <c r="J28" s="6" t="s">
        <v>31</v>
      </c>
    </row>
    <row r="29" customFormat="false" ht="30" hidden="false" customHeight="true" outlineLevel="0" collapsed="false">
      <c r="B29" s="4" t="s">
        <v>98</v>
      </c>
      <c r="C29" s="4" t="s">
        <v>85</v>
      </c>
      <c r="D29" s="4" t="s">
        <v>99</v>
      </c>
      <c r="E29" s="4" t="s">
        <v>100</v>
      </c>
      <c r="F29" s="4" t="s">
        <v>97</v>
      </c>
      <c r="G29" s="4" t="s">
        <v>30</v>
      </c>
      <c r="H29" s="5" t="s">
        <v>16</v>
      </c>
      <c r="I29" s="9" t="s">
        <v>59</v>
      </c>
      <c r="J29" s="4" t="s">
        <v>31</v>
      </c>
    </row>
    <row r="30" customFormat="false" ht="30" hidden="false" customHeight="true" outlineLevel="0" collapsed="false">
      <c r="B30" s="6" t="s">
        <v>101</v>
      </c>
      <c r="C30" s="6" t="s">
        <v>85</v>
      </c>
      <c r="D30" s="6" t="s">
        <v>102</v>
      </c>
      <c r="E30" s="6" t="s">
        <v>103</v>
      </c>
      <c r="F30" s="6" t="s">
        <v>29</v>
      </c>
      <c r="G30" s="6" t="s">
        <v>30</v>
      </c>
      <c r="H30" s="7" t="s">
        <v>16</v>
      </c>
      <c r="I30" s="6" t="s">
        <v>17</v>
      </c>
      <c r="J30" s="6" t="s">
        <v>31</v>
      </c>
    </row>
    <row r="31" customFormat="false" ht="30" hidden="false" customHeight="true" outlineLevel="0" collapsed="false">
      <c r="B31" s="4" t="s">
        <v>104</v>
      </c>
      <c r="C31" s="4" t="s">
        <v>85</v>
      </c>
      <c r="D31" s="4" t="s">
        <v>105</v>
      </c>
      <c r="E31" s="4" t="s">
        <v>106</v>
      </c>
      <c r="F31" s="4" t="s">
        <v>97</v>
      </c>
      <c r="G31" s="4" t="s">
        <v>30</v>
      </c>
      <c r="H31" s="5" t="s">
        <v>16</v>
      </c>
      <c r="I31" s="4" t="s">
        <v>17</v>
      </c>
      <c r="J31" s="4" t="s">
        <v>31</v>
      </c>
    </row>
    <row r="32" customFormat="false" ht="30" hidden="false" customHeight="true" outlineLevel="0" collapsed="false">
      <c r="B32" s="6" t="s">
        <v>107</v>
      </c>
      <c r="C32" s="6" t="s">
        <v>85</v>
      </c>
      <c r="D32" s="6" t="s">
        <v>108</v>
      </c>
      <c r="E32" s="6" t="s">
        <v>109</v>
      </c>
      <c r="F32" s="6" t="s">
        <v>14</v>
      </c>
      <c r="G32" s="6" t="s">
        <v>15</v>
      </c>
      <c r="H32" s="6" t="s">
        <v>17</v>
      </c>
      <c r="I32" s="6" t="s">
        <v>17</v>
      </c>
      <c r="J32" s="6" t="s">
        <v>18</v>
      </c>
    </row>
    <row r="33" customFormat="false" ht="30" hidden="false" customHeight="true" outlineLevel="0" collapsed="false">
      <c r="B33" s="4" t="s">
        <v>110</v>
      </c>
      <c r="C33" s="4" t="s">
        <v>85</v>
      </c>
      <c r="D33" s="4" t="s">
        <v>111</v>
      </c>
      <c r="E33" s="4" t="s">
        <v>112</v>
      </c>
      <c r="F33" s="4" t="s">
        <v>58</v>
      </c>
      <c r="G33" s="4" t="s">
        <v>15</v>
      </c>
      <c r="H33" s="4" t="s">
        <v>17</v>
      </c>
      <c r="I33" s="4" t="s">
        <v>17</v>
      </c>
      <c r="J33" s="4" t="s">
        <v>18</v>
      </c>
    </row>
    <row r="34" customFormat="false" ht="30" hidden="false" customHeight="true" outlineLevel="0" collapsed="false">
      <c r="B34" s="6" t="s">
        <v>113</v>
      </c>
      <c r="C34" s="6" t="s">
        <v>85</v>
      </c>
      <c r="D34" s="6" t="s">
        <v>114</v>
      </c>
      <c r="E34" s="6" t="s">
        <v>115</v>
      </c>
      <c r="F34" s="6" t="s">
        <v>14</v>
      </c>
      <c r="G34" s="6" t="s">
        <v>15</v>
      </c>
      <c r="H34" s="6" t="s">
        <v>17</v>
      </c>
      <c r="I34" s="7" t="s">
        <v>22</v>
      </c>
      <c r="J34" s="6" t="s">
        <v>18</v>
      </c>
    </row>
    <row r="35" customFormat="false" ht="30" hidden="false" customHeight="true" outlineLevel="0" collapsed="false">
      <c r="B35" s="4" t="s">
        <v>116</v>
      </c>
      <c r="C35" s="4" t="s">
        <v>85</v>
      </c>
      <c r="D35" s="4" t="s">
        <v>117</v>
      </c>
      <c r="E35" s="4" t="s">
        <v>118</v>
      </c>
      <c r="F35" s="4" t="s">
        <v>97</v>
      </c>
      <c r="G35" s="4" t="s">
        <v>15</v>
      </c>
      <c r="H35" s="5" t="s">
        <v>16</v>
      </c>
      <c r="I35" s="4" t="s">
        <v>17</v>
      </c>
      <c r="J35" s="4" t="s">
        <v>18</v>
      </c>
    </row>
    <row r="36" customFormat="false" ht="30" hidden="false" customHeight="true" outlineLevel="0" collapsed="false">
      <c r="B36" s="6" t="s">
        <v>119</v>
      </c>
      <c r="C36" s="6" t="s">
        <v>85</v>
      </c>
      <c r="D36" s="6" t="s">
        <v>120</v>
      </c>
      <c r="E36" s="6" t="s">
        <v>121</v>
      </c>
      <c r="F36" s="6" t="s">
        <v>58</v>
      </c>
      <c r="G36" s="6" t="s">
        <v>15</v>
      </c>
      <c r="H36" s="6" t="s">
        <v>17</v>
      </c>
      <c r="I36" s="6" t="s">
        <v>17</v>
      </c>
      <c r="J36" s="6" t="s">
        <v>18</v>
      </c>
    </row>
    <row r="37" customFormat="false" ht="30" hidden="false" customHeight="true" outlineLevel="0" collapsed="false">
      <c r="B37" s="4" t="s">
        <v>122</v>
      </c>
      <c r="C37" s="4" t="s">
        <v>85</v>
      </c>
      <c r="D37" s="4" t="s">
        <v>123</v>
      </c>
      <c r="E37" s="4" t="s">
        <v>124</v>
      </c>
      <c r="F37" s="4" t="s">
        <v>97</v>
      </c>
      <c r="G37" s="4" t="s">
        <v>30</v>
      </c>
      <c r="H37" s="4" t="s">
        <v>17</v>
      </c>
      <c r="I37" s="4" t="s">
        <v>17</v>
      </c>
      <c r="J37" s="4" t="s">
        <v>31</v>
      </c>
    </row>
    <row r="38" customFormat="false" ht="30" hidden="false" customHeight="true" outlineLevel="0" collapsed="false">
      <c r="B38" s="6" t="s">
        <v>125</v>
      </c>
      <c r="C38" s="6" t="s">
        <v>85</v>
      </c>
      <c r="D38" s="6" t="s">
        <v>126</v>
      </c>
      <c r="E38" s="6" t="s">
        <v>127</v>
      </c>
      <c r="F38" s="6" t="s">
        <v>97</v>
      </c>
      <c r="G38" s="6" t="s">
        <v>15</v>
      </c>
      <c r="H38" s="7" t="s">
        <v>16</v>
      </c>
      <c r="I38" s="7" t="s">
        <v>22</v>
      </c>
      <c r="J38" s="6" t="s">
        <v>18</v>
      </c>
    </row>
    <row r="39" customFormat="false" ht="30" hidden="false" customHeight="true" outlineLevel="0" collapsed="false">
      <c r="B39" s="4" t="s">
        <v>128</v>
      </c>
      <c r="C39" s="4" t="s">
        <v>85</v>
      </c>
      <c r="D39" s="4" t="s">
        <v>129</v>
      </c>
      <c r="E39" s="4" t="s">
        <v>130</v>
      </c>
      <c r="F39" s="4" t="s">
        <v>35</v>
      </c>
      <c r="G39" s="4" t="s">
        <v>30</v>
      </c>
      <c r="H39" s="5" t="s">
        <v>16</v>
      </c>
      <c r="I39" s="9" t="s">
        <v>59</v>
      </c>
      <c r="J39" s="4" t="s">
        <v>31</v>
      </c>
    </row>
    <row r="40" customFormat="false" ht="30" hidden="false" customHeight="true" outlineLevel="0" collapsed="false">
      <c r="B40" s="6" t="s">
        <v>131</v>
      </c>
      <c r="C40" s="6" t="s">
        <v>85</v>
      </c>
      <c r="D40" s="6" t="s">
        <v>132</v>
      </c>
      <c r="E40" s="6" t="s">
        <v>133</v>
      </c>
      <c r="F40" s="6" t="s">
        <v>29</v>
      </c>
      <c r="G40" s="6" t="s">
        <v>30</v>
      </c>
      <c r="H40" s="6" t="s">
        <v>17</v>
      </c>
      <c r="I40" s="7" t="s">
        <v>22</v>
      </c>
      <c r="J40" s="6" t="s">
        <v>31</v>
      </c>
    </row>
    <row r="41" customFormat="false" ht="30" hidden="false" customHeight="true" outlineLevel="0" collapsed="false">
      <c r="B41" s="4" t="s">
        <v>134</v>
      </c>
      <c r="C41" s="4" t="s">
        <v>85</v>
      </c>
      <c r="D41" s="4" t="s">
        <v>135</v>
      </c>
      <c r="E41" s="4" t="s">
        <v>136</v>
      </c>
      <c r="F41" s="4" t="s">
        <v>29</v>
      </c>
      <c r="G41" s="4" t="s">
        <v>15</v>
      </c>
      <c r="H41" s="4" t="s">
        <v>17</v>
      </c>
      <c r="I41" s="5" t="s">
        <v>22</v>
      </c>
      <c r="J41" s="4" t="s">
        <v>18</v>
      </c>
    </row>
    <row r="42" customFormat="false" ht="30" hidden="false" customHeight="true" outlineLevel="0" collapsed="false">
      <c r="B42" s="6" t="s">
        <v>137</v>
      </c>
      <c r="C42" s="6" t="s">
        <v>85</v>
      </c>
      <c r="D42" s="6" t="s">
        <v>138</v>
      </c>
      <c r="E42" s="6" t="s">
        <v>139</v>
      </c>
      <c r="F42" s="6" t="s">
        <v>58</v>
      </c>
      <c r="G42" s="6" t="s">
        <v>30</v>
      </c>
      <c r="H42" s="7" t="s">
        <v>16</v>
      </c>
      <c r="I42" s="6" t="s">
        <v>17</v>
      </c>
      <c r="J42" s="6" t="s">
        <v>31</v>
      </c>
    </row>
    <row r="43" customFormat="false" ht="30" hidden="false" customHeight="true" outlineLevel="0" collapsed="false">
      <c r="B43" s="4" t="s">
        <v>140</v>
      </c>
      <c r="C43" s="4" t="s">
        <v>85</v>
      </c>
      <c r="D43" s="4" t="s">
        <v>141</v>
      </c>
      <c r="E43" s="4" t="s">
        <v>142</v>
      </c>
      <c r="F43" s="4" t="s">
        <v>29</v>
      </c>
      <c r="G43" s="4" t="s">
        <v>30</v>
      </c>
      <c r="H43" s="5" t="s">
        <v>16</v>
      </c>
      <c r="I43" s="4" t="s">
        <v>17</v>
      </c>
      <c r="J43" s="4" t="s">
        <v>31</v>
      </c>
    </row>
    <row r="44" customFormat="false" ht="30" hidden="false" customHeight="true" outlineLevel="0" collapsed="false">
      <c r="B44" s="6" t="s">
        <v>143</v>
      </c>
      <c r="C44" s="6" t="s">
        <v>85</v>
      </c>
      <c r="D44" s="6" t="s">
        <v>144</v>
      </c>
      <c r="E44" s="6" t="s">
        <v>145</v>
      </c>
      <c r="F44" s="6" t="s">
        <v>29</v>
      </c>
      <c r="G44" s="6" t="s">
        <v>30</v>
      </c>
      <c r="H44" s="6" t="s">
        <v>17</v>
      </c>
      <c r="I44" s="7" t="s">
        <v>22</v>
      </c>
      <c r="J44" s="6" t="s">
        <v>31</v>
      </c>
    </row>
    <row r="45" customFormat="false" ht="30" hidden="false" customHeight="true" outlineLevel="0" collapsed="false">
      <c r="B45" s="4" t="s">
        <v>146</v>
      </c>
      <c r="C45" s="4" t="s">
        <v>147</v>
      </c>
      <c r="D45" s="4" t="s">
        <v>148</v>
      </c>
      <c r="E45" s="4" t="s">
        <v>149</v>
      </c>
      <c r="F45" s="4" t="s">
        <v>58</v>
      </c>
      <c r="G45" s="4" t="s">
        <v>30</v>
      </c>
      <c r="H45" s="5" t="s">
        <v>16</v>
      </c>
      <c r="I45" s="4" t="s">
        <v>17</v>
      </c>
      <c r="J45" s="4" t="s">
        <v>31</v>
      </c>
    </row>
    <row r="46" customFormat="false" ht="30" hidden="false" customHeight="true" outlineLevel="0" collapsed="false">
      <c r="B46" s="6" t="s">
        <v>150</v>
      </c>
      <c r="C46" s="6" t="s">
        <v>147</v>
      </c>
      <c r="D46" s="6" t="s">
        <v>151</v>
      </c>
      <c r="E46" s="6" t="s">
        <v>152</v>
      </c>
      <c r="F46" s="6" t="s">
        <v>29</v>
      </c>
      <c r="G46" s="6" t="s">
        <v>30</v>
      </c>
      <c r="H46" s="7" t="s">
        <v>16</v>
      </c>
      <c r="I46" s="8" t="s">
        <v>59</v>
      </c>
      <c r="J46" s="6" t="s">
        <v>31</v>
      </c>
    </row>
    <row r="47" customFormat="false" ht="30" hidden="false" customHeight="true" outlineLevel="0" collapsed="false">
      <c r="B47" s="4" t="s">
        <v>153</v>
      </c>
      <c r="C47" s="4" t="s">
        <v>147</v>
      </c>
      <c r="D47" s="4" t="s">
        <v>154</v>
      </c>
      <c r="E47" s="4" t="s">
        <v>155</v>
      </c>
      <c r="F47" s="4" t="s">
        <v>29</v>
      </c>
      <c r="G47" s="4" t="s">
        <v>30</v>
      </c>
      <c r="H47" s="5" t="s">
        <v>16</v>
      </c>
      <c r="I47" s="4" t="s">
        <v>17</v>
      </c>
      <c r="J47" s="4" t="s">
        <v>31</v>
      </c>
    </row>
    <row r="48" customFormat="false" ht="30" hidden="false" customHeight="true" outlineLevel="0" collapsed="false">
      <c r="B48" s="6" t="s">
        <v>156</v>
      </c>
      <c r="C48" s="6" t="s">
        <v>147</v>
      </c>
      <c r="D48" s="6" t="s">
        <v>157</v>
      </c>
      <c r="E48" s="6" t="s">
        <v>158</v>
      </c>
      <c r="F48" s="6" t="s">
        <v>29</v>
      </c>
      <c r="G48" s="6" t="s">
        <v>30</v>
      </c>
      <c r="H48" s="7" t="s">
        <v>16</v>
      </c>
      <c r="I48" s="6" t="s">
        <v>17</v>
      </c>
      <c r="J48" s="6" t="s">
        <v>31</v>
      </c>
    </row>
    <row r="49" customFormat="false" ht="30" hidden="false" customHeight="true" outlineLevel="0" collapsed="false">
      <c r="B49" s="4" t="s">
        <v>159</v>
      </c>
      <c r="C49" s="4" t="s">
        <v>147</v>
      </c>
      <c r="D49" s="4" t="s">
        <v>160</v>
      </c>
      <c r="E49" s="4" t="s">
        <v>161</v>
      </c>
      <c r="F49" s="4" t="s">
        <v>14</v>
      </c>
      <c r="G49" s="4" t="s">
        <v>30</v>
      </c>
      <c r="H49" s="5" t="s">
        <v>16</v>
      </c>
      <c r="I49" s="4" t="s">
        <v>17</v>
      </c>
      <c r="J49" s="4" t="s">
        <v>31</v>
      </c>
    </row>
    <row r="50" customFormat="false" ht="30" hidden="false" customHeight="true" outlineLevel="0" collapsed="false">
      <c r="B50" s="6" t="s">
        <v>162</v>
      </c>
      <c r="C50" s="6" t="s">
        <v>147</v>
      </c>
      <c r="D50" s="6" t="s">
        <v>163</v>
      </c>
      <c r="E50" s="6" t="s">
        <v>164</v>
      </c>
      <c r="F50" s="6" t="s">
        <v>51</v>
      </c>
      <c r="G50" s="6" t="s">
        <v>30</v>
      </c>
      <c r="H50" s="6" t="s">
        <v>17</v>
      </c>
      <c r="I50" s="7" t="s">
        <v>22</v>
      </c>
      <c r="J50" s="6" t="s">
        <v>31</v>
      </c>
    </row>
    <row r="51" customFormat="false" ht="30" hidden="false" customHeight="true" outlineLevel="0" collapsed="false">
      <c r="B51" s="4" t="s">
        <v>165</v>
      </c>
      <c r="C51" s="4" t="s">
        <v>147</v>
      </c>
      <c r="D51" s="4" t="s">
        <v>166</v>
      </c>
      <c r="E51" s="4" t="s">
        <v>167</v>
      </c>
      <c r="F51" s="4" t="s">
        <v>51</v>
      </c>
      <c r="G51" s="4" t="s">
        <v>30</v>
      </c>
      <c r="H51" s="4" t="s">
        <v>17</v>
      </c>
      <c r="I51" s="5" t="s">
        <v>22</v>
      </c>
      <c r="J51" s="4" t="s">
        <v>31</v>
      </c>
    </row>
    <row r="52" customFormat="false" ht="30" hidden="false" customHeight="true" outlineLevel="0" collapsed="false">
      <c r="B52" s="6" t="s">
        <v>168</v>
      </c>
      <c r="C52" s="6" t="s">
        <v>147</v>
      </c>
      <c r="D52" s="6" t="s">
        <v>169</v>
      </c>
      <c r="E52" s="6" t="s">
        <v>170</v>
      </c>
      <c r="F52" s="6" t="s">
        <v>29</v>
      </c>
      <c r="G52" s="6" t="s">
        <v>30</v>
      </c>
      <c r="H52" s="6" t="s">
        <v>17</v>
      </c>
      <c r="I52" s="6" t="s">
        <v>17</v>
      </c>
      <c r="J52" s="6" t="s">
        <v>31</v>
      </c>
    </row>
    <row r="53" customFormat="false" ht="30" hidden="false" customHeight="true" outlineLevel="0" collapsed="false">
      <c r="B53" s="4" t="s">
        <v>171</v>
      </c>
      <c r="C53" s="4" t="s">
        <v>147</v>
      </c>
      <c r="D53" s="4" t="s">
        <v>172</v>
      </c>
      <c r="E53" s="4" t="s">
        <v>173</v>
      </c>
      <c r="F53" s="4" t="s">
        <v>29</v>
      </c>
      <c r="G53" s="4" t="s">
        <v>30</v>
      </c>
      <c r="H53" s="5" t="s">
        <v>16</v>
      </c>
      <c r="I53" s="9" t="s">
        <v>59</v>
      </c>
      <c r="J53" s="4" t="s">
        <v>31</v>
      </c>
    </row>
    <row r="54" customFormat="false" ht="30" hidden="false" customHeight="true" outlineLevel="0" collapsed="false">
      <c r="B54" s="6" t="s">
        <v>174</v>
      </c>
      <c r="C54" s="6" t="s">
        <v>147</v>
      </c>
      <c r="D54" s="6" t="s">
        <v>175</v>
      </c>
      <c r="E54" s="6" t="s">
        <v>176</v>
      </c>
      <c r="F54" s="6" t="s">
        <v>97</v>
      </c>
      <c r="G54" s="6" t="s">
        <v>30</v>
      </c>
      <c r="H54" s="7" t="s">
        <v>16</v>
      </c>
      <c r="I54" s="7" t="s">
        <v>22</v>
      </c>
      <c r="J54" s="6" t="s">
        <v>31</v>
      </c>
    </row>
    <row r="55" customFormat="false" ht="30" hidden="false" customHeight="true" outlineLevel="0" collapsed="false">
      <c r="B55" s="4" t="s">
        <v>177</v>
      </c>
      <c r="C55" s="4" t="s">
        <v>147</v>
      </c>
      <c r="D55" s="4" t="s">
        <v>178</v>
      </c>
      <c r="E55" s="4" t="s">
        <v>179</v>
      </c>
      <c r="F55" s="4" t="s">
        <v>29</v>
      </c>
      <c r="G55" s="4" t="s">
        <v>30</v>
      </c>
      <c r="H55" s="4" t="s">
        <v>17</v>
      </c>
      <c r="I55" s="4" t="s">
        <v>17</v>
      </c>
      <c r="J55" s="4" t="s">
        <v>31</v>
      </c>
    </row>
    <row r="56" customFormat="false" ht="30" hidden="false" customHeight="true" outlineLevel="0" collapsed="false">
      <c r="B56" s="6" t="s">
        <v>180</v>
      </c>
      <c r="C56" s="6" t="s">
        <v>147</v>
      </c>
      <c r="D56" s="6" t="s">
        <v>181</v>
      </c>
      <c r="E56" s="6" t="s">
        <v>182</v>
      </c>
      <c r="F56" s="6" t="s">
        <v>51</v>
      </c>
      <c r="G56" s="6" t="s">
        <v>30</v>
      </c>
      <c r="H56" s="6" t="s">
        <v>17</v>
      </c>
      <c r="I56" s="7" t="s">
        <v>22</v>
      </c>
      <c r="J56" s="6" t="s">
        <v>31</v>
      </c>
    </row>
    <row r="57" customFormat="false" ht="30" hidden="false" customHeight="true" outlineLevel="0" collapsed="false">
      <c r="B57" s="4" t="s">
        <v>183</v>
      </c>
      <c r="C57" s="4" t="s">
        <v>147</v>
      </c>
      <c r="D57" s="4" t="s">
        <v>184</v>
      </c>
      <c r="E57" s="4" t="s">
        <v>185</v>
      </c>
      <c r="F57" s="4" t="s">
        <v>97</v>
      </c>
      <c r="G57" s="4" t="s">
        <v>30</v>
      </c>
      <c r="H57" s="4" t="s">
        <v>17</v>
      </c>
      <c r="I57" s="5" t="s">
        <v>22</v>
      </c>
      <c r="J57" s="4" t="s">
        <v>31</v>
      </c>
    </row>
    <row r="58" customFormat="false" ht="30" hidden="false" customHeight="true" outlineLevel="0" collapsed="false">
      <c r="B58" s="6" t="s">
        <v>186</v>
      </c>
      <c r="C58" s="6" t="s">
        <v>147</v>
      </c>
      <c r="D58" s="6" t="s">
        <v>187</v>
      </c>
      <c r="E58" s="6" t="s">
        <v>188</v>
      </c>
      <c r="F58" s="6" t="s">
        <v>29</v>
      </c>
      <c r="G58" s="6" t="s">
        <v>30</v>
      </c>
      <c r="H58" s="6" t="s">
        <v>17</v>
      </c>
      <c r="I58" s="6" t="s">
        <v>17</v>
      </c>
      <c r="J58" s="6" t="s">
        <v>31</v>
      </c>
    </row>
    <row r="59" customFormat="false" ht="30" hidden="false" customHeight="true" outlineLevel="0" collapsed="false">
      <c r="B59" s="4" t="s">
        <v>189</v>
      </c>
      <c r="C59" s="4" t="s">
        <v>147</v>
      </c>
      <c r="D59" s="4" t="s">
        <v>190</v>
      </c>
      <c r="E59" s="4" t="s">
        <v>191</v>
      </c>
      <c r="F59" s="4" t="s">
        <v>14</v>
      </c>
      <c r="G59" s="4" t="s">
        <v>15</v>
      </c>
      <c r="H59" s="5" t="s">
        <v>16</v>
      </c>
      <c r="I59" s="5" t="s">
        <v>22</v>
      </c>
      <c r="J59" s="4" t="s">
        <v>18</v>
      </c>
    </row>
    <row r="60" customFormat="false" ht="30" hidden="false" customHeight="true" outlineLevel="0" collapsed="false">
      <c r="B60" s="6" t="s">
        <v>192</v>
      </c>
      <c r="C60" s="6" t="s">
        <v>147</v>
      </c>
      <c r="D60" s="6" t="s">
        <v>193</v>
      </c>
      <c r="E60" s="6" t="s">
        <v>194</v>
      </c>
      <c r="F60" s="6" t="s">
        <v>51</v>
      </c>
      <c r="G60" s="6" t="s">
        <v>30</v>
      </c>
      <c r="H60" s="6" t="s">
        <v>17</v>
      </c>
      <c r="I60" s="6" t="s">
        <v>17</v>
      </c>
      <c r="J60" s="6" t="s">
        <v>31</v>
      </c>
    </row>
    <row r="61" customFormat="false" ht="30" hidden="false" customHeight="true" outlineLevel="0" collapsed="false">
      <c r="B61" s="4" t="s">
        <v>195</v>
      </c>
      <c r="C61" s="4" t="s">
        <v>147</v>
      </c>
      <c r="D61" s="4" t="s">
        <v>196</v>
      </c>
      <c r="E61" s="4" t="s">
        <v>197</v>
      </c>
      <c r="F61" s="4" t="s">
        <v>29</v>
      </c>
      <c r="G61" s="4" t="s">
        <v>30</v>
      </c>
      <c r="H61" s="5" t="s">
        <v>16</v>
      </c>
      <c r="I61" s="5" t="s">
        <v>22</v>
      </c>
      <c r="J61" s="4" t="s">
        <v>31</v>
      </c>
    </row>
    <row r="62" customFormat="false" ht="30" hidden="false" customHeight="true" outlineLevel="0" collapsed="false">
      <c r="B62" s="6" t="s">
        <v>198</v>
      </c>
      <c r="C62" s="6" t="s">
        <v>147</v>
      </c>
      <c r="D62" s="6" t="s">
        <v>199</v>
      </c>
      <c r="E62" s="6" t="s">
        <v>200</v>
      </c>
      <c r="F62" s="6" t="s">
        <v>29</v>
      </c>
      <c r="G62" s="6" t="s">
        <v>30</v>
      </c>
      <c r="H62" s="6" t="s">
        <v>17</v>
      </c>
      <c r="I62" s="6" t="s">
        <v>17</v>
      </c>
      <c r="J62" s="6" t="s">
        <v>31</v>
      </c>
    </row>
    <row r="63" customFormat="false" ht="30" hidden="false" customHeight="true" outlineLevel="0" collapsed="false">
      <c r="B63" s="4" t="s">
        <v>201</v>
      </c>
      <c r="C63" s="4" t="s">
        <v>147</v>
      </c>
      <c r="D63" s="4" t="s">
        <v>202</v>
      </c>
      <c r="E63" s="4" t="s">
        <v>203</v>
      </c>
      <c r="F63" s="4" t="s">
        <v>58</v>
      </c>
      <c r="G63" s="4" t="s">
        <v>30</v>
      </c>
      <c r="H63" s="5" t="s">
        <v>16</v>
      </c>
      <c r="I63" s="4" t="s">
        <v>17</v>
      </c>
      <c r="J63" s="4" t="s">
        <v>31</v>
      </c>
    </row>
    <row r="64" customFormat="false" ht="30" hidden="false" customHeight="true" outlineLevel="0" collapsed="false">
      <c r="B64" s="6" t="s">
        <v>204</v>
      </c>
      <c r="C64" s="6" t="s">
        <v>147</v>
      </c>
      <c r="D64" s="6" t="s">
        <v>205</v>
      </c>
      <c r="E64" s="6" t="s">
        <v>206</v>
      </c>
      <c r="F64" s="6" t="s">
        <v>58</v>
      </c>
      <c r="G64" s="6" t="s">
        <v>30</v>
      </c>
      <c r="H64" s="6" t="s">
        <v>17</v>
      </c>
      <c r="I64" s="7" t="s">
        <v>22</v>
      </c>
      <c r="J64" s="6" t="s">
        <v>31</v>
      </c>
    </row>
    <row r="65" customFormat="false" ht="30" hidden="false" customHeight="true" outlineLevel="0" collapsed="false">
      <c r="B65" s="4" t="s">
        <v>207</v>
      </c>
      <c r="C65" s="4" t="s">
        <v>208</v>
      </c>
      <c r="D65" s="4" t="s">
        <v>209</v>
      </c>
      <c r="E65" s="4" t="s">
        <v>210</v>
      </c>
      <c r="F65" s="4" t="s">
        <v>58</v>
      </c>
      <c r="G65" s="4" t="s">
        <v>15</v>
      </c>
      <c r="H65" s="5" t="s">
        <v>16</v>
      </c>
      <c r="I65" s="5" t="s">
        <v>22</v>
      </c>
      <c r="J65" s="4" t="s">
        <v>211</v>
      </c>
    </row>
    <row r="66" customFormat="false" ht="30" hidden="false" customHeight="true" outlineLevel="0" collapsed="false">
      <c r="B66" s="6" t="s">
        <v>212</v>
      </c>
      <c r="C66" s="6" t="s">
        <v>208</v>
      </c>
      <c r="D66" s="6" t="s">
        <v>213</v>
      </c>
      <c r="E66" s="6" t="s">
        <v>214</v>
      </c>
      <c r="F66" s="6" t="s">
        <v>58</v>
      </c>
      <c r="G66" s="6" t="s">
        <v>15</v>
      </c>
      <c r="H66" s="7" t="s">
        <v>16</v>
      </c>
      <c r="I66" s="7" t="s">
        <v>22</v>
      </c>
      <c r="J66" s="6" t="s">
        <v>211</v>
      </c>
    </row>
    <row r="67" customFormat="false" ht="30" hidden="false" customHeight="true" outlineLevel="0" collapsed="false">
      <c r="B67" s="4" t="s">
        <v>215</v>
      </c>
      <c r="C67" s="4" t="s">
        <v>208</v>
      </c>
      <c r="D67" s="4" t="s">
        <v>216</v>
      </c>
      <c r="E67" s="4" t="s">
        <v>217</v>
      </c>
      <c r="F67" s="4" t="s">
        <v>58</v>
      </c>
      <c r="G67" s="4" t="s">
        <v>30</v>
      </c>
      <c r="H67" s="5" t="s">
        <v>16</v>
      </c>
      <c r="I67" s="4" t="s">
        <v>17</v>
      </c>
      <c r="J67" s="4" t="s">
        <v>31</v>
      </c>
    </row>
    <row r="68" customFormat="false" ht="30" hidden="false" customHeight="true" outlineLevel="0" collapsed="false">
      <c r="B68" s="6" t="s">
        <v>218</v>
      </c>
      <c r="C68" s="6" t="s">
        <v>208</v>
      </c>
      <c r="D68" s="6" t="s">
        <v>219</v>
      </c>
      <c r="E68" s="6" t="s">
        <v>220</v>
      </c>
      <c r="F68" s="6" t="s">
        <v>14</v>
      </c>
      <c r="G68" s="6" t="s">
        <v>15</v>
      </c>
      <c r="H68" s="7" t="s">
        <v>16</v>
      </c>
      <c r="I68" s="7" t="s">
        <v>22</v>
      </c>
      <c r="J68" s="6" t="s">
        <v>18</v>
      </c>
    </row>
    <row r="69" customFormat="false" ht="30" hidden="false" customHeight="true" outlineLevel="0" collapsed="false">
      <c r="B69" s="4" t="s">
        <v>221</v>
      </c>
      <c r="C69" s="4" t="s">
        <v>208</v>
      </c>
      <c r="D69" s="4" t="s">
        <v>222</v>
      </c>
      <c r="E69" s="4" t="s">
        <v>223</v>
      </c>
      <c r="F69" s="4" t="s">
        <v>97</v>
      </c>
      <c r="G69" s="4" t="s">
        <v>15</v>
      </c>
      <c r="H69" s="5" t="s">
        <v>16</v>
      </c>
      <c r="I69" s="4" t="s">
        <v>17</v>
      </c>
      <c r="J69" s="4" t="s">
        <v>18</v>
      </c>
    </row>
    <row r="70" customFormat="false" ht="30" hidden="false" customHeight="true" outlineLevel="0" collapsed="false">
      <c r="B70" s="6" t="s">
        <v>224</v>
      </c>
      <c r="C70" s="6" t="s">
        <v>208</v>
      </c>
      <c r="D70" s="6" t="s">
        <v>225</v>
      </c>
      <c r="E70" s="6" t="s">
        <v>226</v>
      </c>
      <c r="F70" s="6" t="s">
        <v>97</v>
      </c>
      <c r="G70" s="6" t="s">
        <v>15</v>
      </c>
      <c r="H70" s="7" t="s">
        <v>16</v>
      </c>
      <c r="I70" s="6" t="s">
        <v>17</v>
      </c>
      <c r="J70" s="6" t="s">
        <v>31</v>
      </c>
    </row>
    <row r="71" customFormat="false" ht="30" hidden="false" customHeight="true" outlineLevel="0" collapsed="false">
      <c r="B71" s="4" t="s">
        <v>227</v>
      </c>
      <c r="C71" s="4" t="s">
        <v>208</v>
      </c>
      <c r="D71" s="4" t="s">
        <v>228</v>
      </c>
      <c r="E71" s="4" t="s">
        <v>229</v>
      </c>
      <c r="F71" s="4" t="s">
        <v>29</v>
      </c>
      <c r="G71" s="4" t="s">
        <v>30</v>
      </c>
      <c r="H71" s="5" t="s">
        <v>16</v>
      </c>
      <c r="I71" s="9" t="s">
        <v>59</v>
      </c>
      <c r="J71" s="4" t="s">
        <v>31</v>
      </c>
    </row>
    <row r="72" customFormat="false" ht="30" hidden="false" customHeight="true" outlineLevel="0" collapsed="false">
      <c r="B72" s="6" t="s">
        <v>230</v>
      </c>
      <c r="C72" s="6" t="s">
        <v>208</v>
      </c>
      <c r="D72" s="6" t="s">
        <v>231</v>
      </c>
      <c r="E72" s="6" t="s">
        <v>232</v>
      </c>
      <c r="F72" s="6" t="s">
        <v>14</v>
      </c>
      <c r="G72" s="6" t="s">
        <v>15</v>
      </c>
      <c r="H72" s="7" t="s">
        <v>16</v>
      </c>
      <c r="I72" s="7" t="s">
        <v>22</v>
      </c>
      <c r="J72" s="6" t="s">
        <v>211</v>
      </c>
    </row>
    <row r="73" customFormat="false" ht="30" hidden="false" customHeight="true" outlineLevel="0" collapsed="false">
      <c r="B73" s="4" t="s">
        <v>233</v>
      </c>
      <c r="C73" s="4" t="s">
        <v>208</v>
      </c>
      <c r="D73" s="4" t="s">
        <v>234</v>
      </c>
      <c r="E73" s="4" t="s">
        <v>235</v>
      </c>
      <c r="F73" s="4" t="s">
        <v>58</v>
      </c>
      <c r="G73" s="4" t="s">
        <v>15</v>
      </c>
      <c r="H73" s="4" t="s">
        <v>17</v>
      </c>
      <c r="I73" s="5" t="s">
        <v>22</v>
      </c>
      <c r="J73" s="4" t="s">
        <v>18</v>
      </c>
    </row>
    <row r="74" customFormat="false" ht="30" hidden="false" customHeight="true" outlineLevel="0" collapsed="false">
      <c r="B74" s="6" t="s">
        <v>236</v>
      </c>
      <c r="C74" s="6" t="s">
        <v>208</v>
      </c>
      <c r="D74" s="6" t="s">
        <v>237</v>
      </c>
      <c r="E74" s="6" t="s">
        <v>238</v>
      </c>
      <c r="F74" s="6" t="s">
        <v>97</v>
      </c>
      <c r="G74" s="6" t="s">
        <v>30</v>
      </c>
      <c r="H74" s="6" t="s">
        <v>17</v>
      </c>
      <c r="I74" s="6" t="s">
        <v>17</v>
      </c>
      <c r="J74" s="6" t="s">
        <v>31</v>
      </c>
    </row>
    <row r="75" customFormat="false" ht="30" hidden="false" customHeight="true" outlineLevel="0" collapsed="false">
      <c r="B75" s="4" t="s">
        <v>239</v>
      </c>
      <c r="C75" s="4" t="s">
        <v>208</v>
      </c>
      <c r="D75" s="4" t="s">
        <v>240</v>
      </c>
      <c r="E75" s="4" t="s">
        <v>241</v>
      </c>
      <c r="F75" s="4" t="s">
        <v>29</v>
      </c>
      <c r="G75" s="4" t="s">
        <v>30</v>
      </c>
      <c r="H75" s="4" t="s">
        <v>17</v>
      </c>
      <c r="I75" s="4" t="s">
        <v>17</v>
      </c>
      <c r="J75" s="4" t="s">
        <v>31</v>
      </c>
    </row>
    <row r="76" customFormat="false" ht="30" hidden="false" customHeight="true" outlineLevel="0" collapsed="false">
      <c r="B76" s="6" t="s">
        <v>242</v>
      </c>
      <c r="C76" s="6" t="s">
        <v>208</v>
      </c>
      <c r="D76" s="6" t="s">
        <v>243</v>
      </c>
      <c r="E76" s="6" t="s">
        <v>244</v>
      </c>
      <c r="F76" s="6" t="s">
        <v>29</v>
      </c>
      <c r="G76" s="6" t="s">
        <v>30</v>
      </c>
      <c r="H76" s="6" t="s">
        <v>17</v>
      </c>
      <c r="I76" s="6" t="s">
        <v>17</v>
      </c>
      <c r="J76" s="6" t="s">
        <v>31</v>
      </c>
    </row>
    <row r="77" customFormat="false" ht="30" hidden="false" customHeight="true" outlineLevel="0" collapsed="false">
      <c r="B77" s="4" t="s">
        <v>245</v>
      </c>
      <c r="C77" s="4" t="s">
        <v>208</v>
      </c>
      <c r="D77" s="4" t="s">
        <v>246</v>
      </c>
      <c r="E77" s="4" t="s">
        <v>247</v>
      </c>
      <c r="F77" s="4" t="s">
        <v>58</v>
      </c>
      <c r="G77" s="4" t="s">
        <v>15</v>
      </c>
      <c r="H77" s="4" t="s">
        <v>17</v>
      </c>
      <c r="I77" s="9" t="s">
        <v>59</v>
      </c>
      <c r="J77" s="4" t="s">
        <v>18</v>
      </c>
    </row>
    <row r="78" customFormat="false" ht="30" hidden="false" customHeight="true" outlineLevel="0" collapsed="false">
      <c r="B78" s="6" t="s">
        <v>248</v>
      </c>
      <c r="C78" s="6" t="s">
        <v>208</v>
      </c>
      <c r="D78" s="6" t="s">
        <v>249</v>
      </c>
      <c r="E78" s="6" t="s">
        <v>250</v>
      </c>
      <c r="F78" s="6" t="s">
        <v>29</v>
      </c>
      <c r="G78" s="6" t="s">
        <v>30</v>
      </c>
      <c r="H78" s="6" t="s">
        <v>17</v>
      </c>
      <c r="I78" s="7" t="s">
        <v>22</v>
      </c>
      <c r="J78" s="6" t="s">
        <v>31</v>
      </c>
    </row>
    <row r="79" customFormat="false" ht="30" hidden="false" customHeight="true" outlineLevel="0" collapsed="false">
      <c r="B79" s="4" t="s">
        <v>251</v>
      </c>
      <c r="C79" s="4" t="s">
        <v>208</v>
      </c>
      <c r="D79" s="4" t="s">
        <v>252</v>
      </c>
      <c r="E79" s="4" t="s">
        <v>253</v>
      </c>
      <c r="F79" s="4" t="s">
        <v>35</v>
      </c>
      <c r="G79" s="4" t="s">
        <v>30</v>
      </c>
      <c r="H79" s="5" t="s">
        <v>16</v>
      </c>
      <c r="I79" s="4" t="s">
        <v>17</v>
      </c>
      <c r="J79" s="4" t="s">
        <v>31</v>
      </c>
    </row>
    <row r="80" customFormat="false" ht="30" hidden="false" customHeight="true" outlineLevel="0" collapsed="false">
      <c r="B80" s="6" t="s">
        <v>254</v>
      </c>
      <c r="C80" s="6" t="s">
        <v>208</v>
      </c>
      <c r="D80" s="6" t="s">
        <v>255</v>
      </c>
      <c r="E80" s="6" t="s">
        <v>256</v>
      </c>
      <c r="F80" s="6" t="s">
        <v>14</v>
      </c>
      <c r="G80" s="6" t="s">
        <v>15</v>
      </c>
      <c r="H80" s="6" t="s">
        <v>17</v>
      </c>
      <c r="I80" s="7" t="s">
        <v>22</v>
      </c>
      <c r="J80" s="6" t="s">
        <v>18</v>
      </c>
    </row>
    <row r="81" customFormat="false" ht="30" hidden="false" customHeight="true" outlineLevel="0" collapsed="false">
      <c r="B81" s="4" t="s">
        <v>257</v>
      </c>
      <c r="C81" s="4" t="s">
        <v>208</v>
      </c>
      <c r="D81" s="4" t="s">
        <v>258</v>
      </c>
      <c r="E81" s="4" t="s">
        <v>259</v>
      </c>
      <c r="F81" s="4" t="s">
        <v>58</v>
      </c>
      <c r="G81" s="4" t="s">
        <v>15</v>
      </c>
      <c r="H81" s="4" t="s">
        <v>17</v>
      </c>
      <c r="I81" s="5" t="s">
        <v>22</v>
      </c>
      <c r="J81" s="4" t="s">
        <v>211</v>
      </c>
    </row>
    <row r="82" customFormat="false" ht="30" hidden="false" customHeight="true" outlineLevel="0" collapsed="false">
      <c r="B82" s="6" t="s">
        <v>260</v>
      </c>
      <c r="C82" s="6" t="s">
        <v>208</v>
      </c>
      <c r="D82" s="6" t="s">
        <v>261</v>
      </c>
      <c r="E82" s="6" t="s">
        <v>262</v>
      </c>
      <c r="F82" s="6" t="s">
        <v>29</v>
      </c>
      <c r="G82" s="6" t="s">
        <v>30</v>
      </c>
      <c r="H82" s="7" t="s">
        <v>16</v>
      </c>
      <c r="I82" s="7" t="s">
        <v>22</v>
      </c>
      <c r="J82" s="6" t="s">
        <v>18</v>
      </c>
    </row>
    <row r="83" customFormat="false" ht="30" hidden="false" customHeight="true" outlineLevel="0" collapsed="false">
      <c r="B83" s="4" t="s">
        <v>263</v>
      </c>
      <c r="C83" s="4" t="s">
        <v>208</v>
      </c>
      <c r="D83" s="4" t="s">
        <v>264</v>
      </c>
      <c r="E83" s="4" t="s">
        <v>265</v>
      </c>
      <c r="F83" s="4" t="s">
        <v>29</v>
      </c>
      <c r="G83" s="4" t="s">
        <v>15</v>
      </c>
      <c r="H83" s="5" t="s">
        <v>16</v>
      </c>
      <c r="I83" s="4" t="s">
        <v>17</v>
      </c>
      <c r="J83" s="4" t="s">
        <v>31</v>
      </c>
    </row>
    <row r="84" customFormat="false" ht="30" hidden="false" customHeight="true" outlineLevel="0" collapsed="false">
      <c r="B84" s="6" t="s">
        <v>266</v>
      </c>
      <c r="C84" s="6" t="s">
        <v>208</v>
      </c>
      <c r="D84" s="6" t="s">
        <v>267</v>
      </c>
      <c r="E84" s="6" t="s">
        <v>268</v>
      </c>
      <c r="F84" s="6" t="s">
        <v>29</v>
      </c>
      <c r="G84" s="6" t="s">
        <v>30</v>
      </c>
      <c r="H84" s="6" t="s">
        <v>17</v>
      </c>
      <c r="I84" s="7" t="s">
        <v>22</v>
      </c>
      <c r="J84" s="6" t="s">
        <v>31</v>
      </c>
    </row>
    <row r="85" customFormat="false" ht="30" hidden="false" customHeight="true" outlineLevel="0" collapsed="false">
      <c r="B85" s="4" t="s">
        <v>269</v>
      </c>
      <c r="C85" s="4" t="s">
        <v>270</v>
      </c>
      <c r="D85" s="4" t="s">
        <v>271</v>
      </c>
      <c r="E85" s="4" t="s">
        <v>272</v>
      </c>
      <c r="F85" s="4" t="s">
        <v>14</v>
      </c>
      <c r="G85" s="4" t="s">
        <v>15</v>
      </c>
      <c r="H85" s="5" t="s">
        <v>16</v>
      </c>
      <c r="I85" s="5" t="s">
        <v>22</v>
      </c>
      <c r="J85" s="4" t="s">
        <v>18</v>
      </c>
    </row>
    <row r="86" customFormat="false" ht="30" hidden="false" customHeight="true" outlineLevel="0" collapsed="false">
      <c r="B86" s="6" t="s">
        <v>273</v>
      </c>
      <c r="C86" s="6" t="s">
        <v>270</v>
      </c>
      <c r="D86" s="6" t="s">
        <v>274</v>
      </c>
      <c r="E86" s="6" t="s">
        <v>275</v>
      </c>
      <c r="F86" s="6" t="s">
        <v>58</v>
      </c>
      <c r="G86" s="6" t="s">
        <v>15</v>
      </c>
      <c r="H86" s="7" t="s">
        <v>16</v>
      </c>
      <c r="I86" s="6" t="s">
        <v>17</v>
      </c>
      <c r="J86" s="6" t="s">
        <v>18</v>
      </c>
    </row>
    <row r="87" customFormat="false" ht="30" hidden="false" customHeight="true" outlineLevel="0" collapsed="false">
      <c r="B87" s="4" t="s">
        <v>276</v>
      </c>
      <c r="C87" s="4" t="s">
        <v>270</v>
      </c>
      <c r="D87" s="4" t="s">
        <v>277</v>
      </c>
      <c r="E87" s="4" t="s">
        <v>278</v>
      </c>
      <c r="F87" s="4" t="s">
        <v>29</v>
      </c>
      <c r="G87" s="4" t="s">
        <v>30</v>
      </c>
      <c r="H87" s="5" t="s">
        <v>16</v>
      </c>
      <c r="I87" s="9" t="s">
        <v>59</v>
      </c>
      <c r="J87" s="4" t="s">
        <v>31</v>
      </c>
    </row>
    <row r="88" customFormat="false" ht="30" hidden="false" customHeight="true" outlineLevel="0" collapsed="false">
      <c r="B88" s="6" t="s">
        <v>279</v>
      </c>
      <c r="C88" s="6" t="s">
        <v>270</v>
      </c>
      <c r="D88" s="6" t="s">
        <v>280</v>
      </c>
      <c r="E88" s="6" t="s">
        <v>281</v>
      </c>
      <c r="F88" s="6" t="s">
        <v>51</v>
      </c>
      <c r="G88" s="6" t="s">
        <v>15</v>
      </c>
      <c r="H88" s="7" t="s">
        <v>16</v>
      </c>
      <c r="I88" s="7" t="s">
        <v>22</v>
      </c>
      <c r="J88" s="6" t="s">
        <v>18</v>
      </c>
    </row>
    <row r="89" customFormat="false" ht="30" hidden="false" customHeight="true" outlineLevel="0" collapsed="false">
      <c r="B89" s="4" t="s">
        <v>282</v>
      </c>
      <c r="C89" s="4" t="s">
        <v>270</v>
      </c>
      <c r="D89" s="4" t="s">
        <v>283</v>
      </c>
      <c r="E89" s="4" t="s">
        <v>284</v>
      </c>
      <c r="F89" s="4" t="s">
        <v>97</v>
      </c>
      <c r="G89" s="4" t="s">
        <v>15</v>
      </c>
      <c r="H89" s="5" t="s">
        <v>16</v>
      </c>
      <c r="I89" s="4" t="s">
        <v>17</v>
      </c>
      <c r="J89" s="4" t="s">
        <v>18</v>
      </c>
    </row>
    <row r="90" customFormat="false" ht="30" hidden="false" customHeight="true" outlineLevel="0" collapsed="false">
      <c r="B90" s="6" t="s">
        <v>285</v>
      </c>
      <c r="C90" s="6" t="s">
        <v>270</v>
      </c>
      <c r="D90" s="6" t="s">
        <v>286</v>
      </c>
      <c r="E90" s="6" t="s">
        <v>287</v>
      </c>
      <c r="F90" s="6" t="s">
        <v>97</v>
      </c>
      <c r="G90" s="6" t="s">
        <v>30</v>
      </c>
      <c r="H90" s="7" t="s">
        <v>16</v>
      </c>
      <c r="I90" s="6" t="s">
        <v>17</v>
      </c>
      <c r="J90" s="6" t="s">
        <v>31</v>
      </c>
    </row>
    <row r="91" customFormat="false" ht="30" hidden="false" customHeight="true" outlineLevel="0" collapsed="false">
      <c r="B91" s="4" t="s">
        <v>288</v>
      </c>
      <c r="C91" s="4" t="s">
        <v>270</v>
      </c>
      <c r="D91" s="4" t="s">
        <v>289</v>
      </c>
      <c r="E91" s="4" t="s">
        <v>290</v>
      </c>
      <c r="F91" s="4" t="s">
        <v>97</v>
      </c>
      <c r="G91" s="4" t="s">
        <v>15</v>
      </c>
      <c r="H91" s="4" t="s">
        <v>17</v>
      </c>
      <c r="I91" s="5" t="s">
        <v>22</v>
      </c>
      <c r="J91" s="4" t="s">
        <v>31</v>
      </c>
    </row>
    <row r="92" customFormat="false" ht="30" hidden="false" customHeight="true" outlineLevel="0" collapsed="false">
      <c r="B92" s="6" t="s">
        <v>291</v>
      </c>
      <c r="C92" s="6" t="s">
        <v>270</v>
      </c>
      <c r="D92" s="6" t="s">
        <v>292</v>
      </c>
      <c r="E92" s="6" t="s">
        <v>293</v>
      </c>
      <c r="F92" s="6" t="s">
        <v>29</v>
      </c>
      <c r="G92" s="6" t="s">
        <v>15</v>
      </c>
      <c r="H92" s="6" t="s">
        <v>17</v>
      </c>
      <c r="I92" s="6" t="s">
        <v>17</v>
      </c>
      <c r="J92" s="6" t="s">
        <v>31</v>
      </c>
    </row>
    <row r="93" customFormat="false" ht="30" hidden="false" customHeight="true" outlineLevel="0" collapsed="false">
      <c r="B93" s="4" t="s">
        <v>294</v>
      </c>
      <c r="C93" s="4" t="s">
        <v>270</v>
      </c>
      <c r="D93" s="4" t="s">
        <v>295</v>
      </c>
      <c r="E93" s="4" t="s">
        <v>296</v>
      </c>
      <c r="F93" s="4" t="s">
        <v>97</v>
      </c>
      <c r="G93" s="4" t="s">
        <v>30</v>
      </c>
      <c r="H93" s="5" t="s">
        <v>16</v>
      </c>
      <c r="I93" s="4" t="s">
        <v>17</v>
      </c>
      <c r="J93" s="4" t="s">
        <v>31</v>
      </c>
    </row>
    <row r="94" customFormat="false" ht="30" hidden="false" customHeight="true" outlineLevel="0" collapsed="false">
      <c r="B94" s="6" t="s">
        <v>297</v>
      </c>
      <c r="C94" s="6" t="s">
        <v>270</v>
      </c>
      <c r="D94" s="6" t="s">
        <v>298</v>
      </c>
      <c r="E94" s="6" t="s">
        <v>299</v>
      </c>
      <c r="F94" s="6" t="s">
        <v>29</v>
      </c>
      <c r="G94" s="6" t="s">
        <v>30</v>
      </c>
      <c r="H94" s="7" t="s">
        <v>16</v>
      </c>
      <c r="I94" s="6" t="s">
        <v>17</v>
      </c>
      <c r="J94" s="6" t="s">
        <v>31</v>
      </c>
    </row>
    <row r="95" customFormat="false" ht="30" hidden="false" customHeight="true" outlineLevel="0" collapsed="false">
      <c r="B95" s="4" t="s">
        <v>300</v>
      </c>
      <c r="C95" s="4" t="s">
        <v>270</v>
      </c>
      <c r="D95" s="4" t="s">
        <v>301</v>
      </c>
      <c r="E95" s="4" t="s">
        <v>302</v>
      </c>
      <c r="F95" s="4" t="s">
        <v>51</v>
      </c>
      <c r="G95" s="4" t="s">
        <v>15</v>
      </c>
      <c r="H95" s="5" t="s">
        <v>16</v>
      </c>
      <c r="I95" s="5" t="s">
        <v>22</v>
      </c>
      <c r="J95" s="4" t="s">
        <v>31</v>
      </c>
    </row>
    <row r="96" customFormat="false" ht="30" hidden="false" customHeight="true" outlineLevel="0" collapsed="false">
      <c r="B96" s="6" t="s">
        <v>303</v>
      </c>
      <c r="C96" s="6" t="s">
        <v>270</v>
      </c>
      <c r="D96" s="6" t="s">
        <v>304</v>
      </c>
      <c r="E96" s="6" t="s">
        <v>305</v>
      </c>
      <c r="F96" s="6" t="s">
        <v>97</v>
      </c>
      <c r="G96" s="6" t="s">
        <v>30</v>
      </c>
      <c r="H96" s="7" t="s">
        <v>16</v>
      </c>
      <c r="I96" s="6" t="s">
        <v>17</v>
      </c>
      <c r="J96" s="6" t="s">
        <v>18</v>
      </c>
    </row>
    <row r="97" customFormat="false" ht="30" hidden="false" customHeight="true" outlineLevel="0" collapsed="false">
      <c r="B97" s="4" t="s">
        <v>306</v>
      </c>
      <c r="C97" s="4" t="s">
        <v>270</v>
      </c>
      <c r="D97" s="4" t="s">
        <v>307</v>
      </c>
      <c r="E97" s="4" t="s">
        <v>308</v>
      </c>
      <c r="F97" s="4" t="s">
        <v>14</v>
      </c>
      <c r="G97" s="4" t="s">
        <v>15</v>
      </c>
      <c r="H97" s="4" t="s">
        <v>17</v>
      </c>
      <c r="I97" s="5" t="s">
        <v>22</v>
      </c>
      <c r="J97" s="4" t="s">
        <v>31</v>
      </c>
    </row>
    <row r="98" customFormat="false" ht="30" hidden="false" customHeight="true" outlineLevel="0" collapsed="false">
      <c r="B98" s="6" t="s">
        <v>309</v>
      </c>
      <c r="C98" s="6" t="s">
        <v>270</v>
      </c>
      <c r="D98" s="6" t="s">
        <v>310</v>
      </c>
      <c r="E98" s="6" t="s">
        <v>311</v>
      </c>
      <c r="F98" s="6" t="s">
        <v>97</v>
      </c>
      <c r="G98" s="6" t="s">
        <v>15</v>
      </c>
      <c r="H98" s="7" t="s">
        <v>16</v>
      </c>
      <c r="I98" s="7" t="s">
        <v>22</v>
      </c>
      <c r="J98" s="6" t="s">
        <v>18</v>
      </c>
    </row>
    <row r="99" customFormat="false" ht="30" hidden="false" customHeight="true" outlineLevel="0" collapsed="false">
      <c r="B99" s="4" t="s">
        <v>312</v>
      </c>
      <c r="C99" s="4" t="s">
        <v>270</v>
      </c>
      <c r="D99" s="4" t="s">
        <v>313</v>
      </c>
      <c r="E99" s="4" t="s">
        <v>314</v>
      </c>
      <c r="F99" s="4" t="s">
        <v>29</v>
      </c>
      <c r="G99" s="4" t="s">
        <v>30</v>
      </c>
      <c r="H99" s="4" t="s">
        <v>17</v>
      </c>
      <c r="I99" s="4" t="s">
        <v>17</v>
      </c>
      <c r="J99" s="4" t="s">
        <v>31</v>
      </c>
    </row>
    <row r="100" customFormat="false" ht="30" hidden="false" customHeight="true" outlineLevel="0" collapsed="false">
      <c r="B100" s="6" t="s">
        <v>315</v>
      </c>
      <c r="C100" s="6" t="s">
        <v>270</v>
      </c>
      <c r="D100" s="6" t="s">
        <v>316</v>
      </c>
      <c r="E100" s="6" t="s">
        <v>317</v>
      </c>
      <c r="F100" s="6" t="s">
        <v>58</v>
      </c>
      <c r="G100" s="6" t="s">
        <v>15</v>
      </c>
      <c r="H100" s="6" t="s">
        <v>17</v>
      </c>
      <c r="I100" s="7" t="s">
        <v>22</v>
      </c>
      <c r="J100" s="6" t="s">
        <v>18</v>
      </c>
    </row>
    <row r="101" customFormat="false" ht="30" hidden="false" customHeight="true" outlineLevel="0" collapsed="false">
      <c r="B101" s="4" t="s">
        <v>318</v>
      </c>
      <c r="C101" s="4" t="s">
        <v>270</v>
      </c>
      <c r="D101" s="4" t="s">
        <v>319</v>
      </c>
      <c r="E101" s="4" t="s">
        <v>320</v>
      </c>
      <c r="F101" s="4" t="s">
        <v>97</v>
      </c>
      <c r="G101" s="4" t="s">
        <v>15</v>
      </c>
      <c r="H101" s="5" t="s">
        <v>16</v>
      </c>
      <c r="I101" s="4" t="s">
        <v>17</v>
      </c>
      <c r="J101" s="4" t="s">
        <v>18</v>
      </c>
    </row>
    <row r="102" customFormat="false" ht="30" hidden="false" customHeight="true" outlineLevel="0" collapsed="false">
      <c r="B102" s="6" t="s">
        <v>321</v>
      </c>
      <c r="C102" s="6" t="s">
        <v>270</v>
      </c>
      <c r="D102" s="6" t="s">
        <v>322</v>
      </c>
      <c r="E102" s="6" t="s">
        <v>323</v>
      </c>
      <c r="F102" s="6" t="s">
        <v>97</v>
      </c>
      <c r="G102" s="6" t="s">
        <v>15</v>
      </c>
      <c r="H102" s="6" t="s">
        <v>17</v>
      </c>
      <c r="I102" s="7" t="s">
        <v>22</v>
      </c>
      <c r="J102" s="6" t="s">
        <v>31</v>
      </c>
    </row>
    <row r="103" customFormat="false" ht="30" hidden="false" customHeight="true" outlineLevel="0" collapsed="false">
      <c r="B103" s="4" t="s">
        <v>324</v>
      </c>
      <c r="C103" s="4" t="s">
        <v>270</v>
      </c>
      <c r="D103" s="4" t="s">
        <v>325</v>
      </c>
      <c r="E103" s="4" t="s">
        <v>326</v>
      </c>
      <c r="F103" s="4" t="s">
        <v>14</v>
      </c>
      <c r="G103" s="4" t="s">
        <v>15</v>
      </c>
      <c r="H103" s="5" t="s">
        <v>16</v>
      </c>
      <c r="I103" s="5" t="s">
        <v>22</v>
      </c>
      <c r="J103" s="4" t="s">
        <v>18</v>
      </c>
    </row>
    <row r="104" customFormat="false" ht="30" hidden="false" customHeight="true" outlineLevel="0" collapsed="false">
      <c r="B104" s="6" t="s">
        <v>327</v>
      </c>
      <c r="C104" s="6" t="s">
        <v>270</v>
      </c>
      <c r="D104" s="6" t="s">
        <v>328</v>
      </c>
      <c r="E104" s="6" t="s">
        <v>329</v>
      </c>
      <c r="F104" s="6" t="s">
        <v>29</v>
      </c>
      <c r="G104" s="6" t="s">
        <v>30</v>
      </c>
      <c r="H104" s="6" t="s">
        <v>17</v>
      </c>
      <c r="I104" s="7" t="s">
        <v>22</v>
      </c>
      <c r="J104" s="6" t="s">
        <v>31</v>
      </c>
    </row>
    <row r="105" customFormat="false" ht="30" hidden="false" customHeight="true" outlineLevel="0" collapsed="false">
      <c r="B105" s="4" t="s">
        <v>330</v>
      </c>
      <c r="C105" s="4" t="s">
        <v>331</v>
      </c>
      <c r="D105" s="4" t="s">
        <v>332</v>
      </c>
      <c r="E105" s="4" t="s">
        <v>333</v>
      </c>
      <c r="F105" s="4" t="s">
        <v>58</v>
      </c>
      <c r="G105" s="4" t="s">
        <v>15</v>
      </c>
      <c r="H105" s="5" t="s">
        <v>16</v>
      </c>
      <c r="I105" s="5" t="s">
        <v>22</v>
      </c>
      <c r="J105" s="4" t="s">
        <v>211</v>
      </c>
    </row>
    <row r="106" customFormat="false" ht="30" hidden="false" customHeight="true" outlineLevel="0" collapsed="false">
      <c r="B106" s="6" t="s">
        <v>334</v>
      </c>
      <c r="C106" s="6" t="s">
        <v>331</v>
      </c>
      <c r="D106" s="6" t="s">
        <v>335</v>
      </c>
      <c r="E106" s="6" t="s">
        <v>336</v>
      </c>
      <c r="F106" s="6" t="s">
        <v>14</v>
      </c>
      <c r="G106" s="6" t="s">
        <v>15</v>
      </c>
      <c r="H106" s="7" t="s">
        <v>16</v>
      </c>
      <c r="I106" s="7" t="s">
        <v>22</v>
      </c>
      <c r="J106" s="6" t="s">
        <v>18</v>
      </c>
    </row>
    <row r="107" customFormat="false" ht="30" hidden="false" customHeight="true" outlineLevel="0" collapsed="false">
      <c r="B107" s="4" t="s">
        <v>337</v>
      </c>
      <c r="C107" s="4" t="s">
        <v>331</v>
      </c>
      <c r="D107" s="4" t="s">
        <v>338</v>
      </c>
      <c r="E107" s="4" t="s">
        <v>339</v>
      </c>
      <c r="F107" s="4" t="s">
        <v>14</v>
      </c>
      <c r="G107" s="4" t="s">
        <v>15</v>
      </c>
      <c r="H107" s="5" t="s">
        <v>16</v>
      </c>
      <c r="I107" s="5" t="s">
        <v>22</v>
      </c>
      <c r="J107" s="4" t="s">
        <v>211</v>
      </c>
    </row>
    <row r="108" customFormat="false" ht="30" hidden="false" customHeight="true" outlineLevel="0" collapsed="false">
      <c r="B108" s="6" t="s">
        <v>340</v>
      </c>
      <c r="C108" s="6" t="s">
        <v>331</v>
      </c>
      <c r="D108" s="6" t="s">
        <v>341</v>
      </c>
      <c r="E108" s="6" t="s">
        <v>342</v>
      </c>
      <c r="F108" s="6" t="s">
        <v>58</v>
      </c>
      <c r="G108" s="6" t="s">
        <v>15</v>
      </c>
      <c r="H108" s="6" t="s">
        <v>17</v>
      </c>
      <c r="I108" s="7" t="s">
        <v>22</v>
      </c>
      <c r="J108" s="6" t="s">
        <v>31</v>
      </c>
    </row>
    <row r="109" customFormat="false" ht="30" hidden="false" customHeight="true" outlineLevel="0" collapsed="false">
      <c r="B109" s="4" t="s">
        <v>343</v>
      </c>
      <c r="C109" s="4" t="s">
        <v>331</v>
      </c>
      <c r="D109" s="4" t="s">
        <v>344</v>
      </c>
      <c r="E109" s="4" t="s">
        <v>345</v>
      </c>
      <c r="F109" s="4" t="s">
        <v>58</v>
      </c>
      <c r="G109" s="4" t="s">
        <v>15</v>
      </c>
      <c r="H109" s="4" t="s">
        <v>17</v>
      </c>
      <c r="I109" s="4" t="s">
        <v>17</v>
      </c>
      <c r="J109" s="4" t="s">
        <v>31</v>
      </c>
    </row>
    <row r="110" customFormat="false" ht="30" hidden="false" customHeight="true" outlineLevel="0" collapsed="false">
      <c r="B110" s="6" t="s">
        <v>346</v>
      </c>
      <c r="C110" s="6" t="s">
        <v>331</v>
      </c>
      <c r="D110" s="6" t="s">
        <v>347</v>
      </c>
      <c r="E110" s="6" t="s">
        <v>348</v>
      </c>
      <c r="F110" s="6" t="s">
        <v>14</v>
      </c>
      <c r="G110" s="6" t="s">
        <v>15</v>
      </c>
      <c r="H110" s="6" t="s">
        <v>17</v>
      </c>
      <c r="I110" s="7" t="s">
        <v>22</v>
      </c>
      <c r="J110" s="6" t="s">
        <v>18</v>
      </c>
    </row>
    <row r="111" customFormat="false" ht="30" hidden="false" customHeight="true" outlineLevel="0" collapsed="false">
      <c r="B111" s="4" t="s">
        <v>349</v>
      </c>
      <c r="C111" s="4" t="s">
        <v>331</v>
      </c>
      <c r="D111" s="4" t="s">
        <v>350</v>
      </c>
      <c r="E111" s="4" t="s">
        <v>351</v>
      </c>
      <c r="F111" s="4" t="s">
        <v>58</v>
      </c>
      <c r="G111" s="4" t="s">
        <v>15</v>
      </c>
      <c r="H111" s="5" t="s">
        <v>16</v>
      </c>
      <c r="I111" s="5" t="s">
        <v>22</v>
      </c>
      <c r="J111" s="4" t="s">
        <v>18</v>
      </c>
    </row>
    <row r="112" customFormat="false" ht="30" hidden="false" customHeight="true" outlineLevel="0" collapsed="false">
      <c r="B112" s="6" t="s">
        <v>352</v>
      </c>
      <c r="C112" s="6" t="s">
        <v>331</v>
      </c>
      <c r="D112" s="6" t="s">
        <v>353</v>
      </c>
      <c r="E112" s="6" t="s">
        <v>354</v>
      </c>
      <c r="F112" s="6" t="s">
        <v>14</v>
      </c>
      <c r="G112" s="6" t="s">
        <v>15</v>
      </c>
      <c r="H112" s="6" t="s">
        <v>17</v>
      </c>
      <c r="I112" s="7" t="s">
        <v>22</v>
      </c>
      <c r="J112" s="6" t="s">
        <v>18</v>
      </c>
    </row>
    <row r="113" customFormat="false" ht="30" hidden="false" customHeight="true" outlineLevel="0" collapsed="false">
      <c r="B113" s="4" t="s">
        <v>355</v>
      </c>
      <c r="C113" s="4" t="s">
        <v>331</v>
      </c>
      <c r="D113" s="4" t="s">
        <v>356</v>
      </c>
      <c r="E113" s="4" t="s">
        <v>357</v>
      </c>
      <c r="F113" s="4" t="s">
        <v>58</v>
      </c>
      <c r="G113" s="4" t="s">
        <v>15</v>
      </c>
      <c r="H113" s="4" t="s">
        <v>17</v>
      </c>
      <c r="I113" s="5" t="s">
        <v>22</v>
      </c>
      <c r="J113" s="4" t="s">
        <v>211</v>
      </c>
    </row>
    <row r="114" customFormat="false" ht="30" hidden="false" customHeight="true" outlineLevel="0" collapsed="false">
      <c r="B114" s="6" t="s">
        <v>358</v>
      </c>
      <c r="C114" s="6" t="s">
        <v>331</v>
      </c>
      <c r="D114" s="6" t="s">
        <v>359</v>
      </c>
      <c r="E114" s="6" t="s">
        <v>360</v>
      </c>
      <c r="F114" s="6" t="s">
        <v>14</v>
      </c>
      <c r="G114" s="6" t="s">
        <v>15</v>
      </c>
      <c r="H114" s="6" t="s">
        <v>17</v>
      </c>
      <c r="I114" s="7" t="s">
        <v>22</v>
      </c>
      <c r="J114" s="6" t="s">
        <v>18</v>
      </c>
    </row>
    <row r="115" customFormat="false" ht="30" hidden="false" customHeight="true" outlineLevel="0" collapsed="false">
      <c r="B115" s="4" t="s">
        <v>361</v>
      </c>
      <c r="C115" s="4" t="s">
        <v>331</v>
      </c>
      <c r="D115" s="4" t="s">
        <v>362</v>
      </c>
      <c r="E115" s="4" t="s">
        <v>363</v>
      </c>
      <c r="F115" s="4" t="s">
        <v>58</v>
      </c>
      <c r="G115" s="4" t="s">
        <v>15</v>
      </c>
      <c r="H115" s="4" t="s">
        <v>17</v>
      </c>
      <c r="I115" s="5" t="s">
        <v>22</v>
      </c>
      <c r="J115" s="4" t="s">
        <v>18</v>
      </c>
    </row>
    <row r="116" customFormat="false" ht="30" hidden="false" customHeight="true" outlineLevel="0" collapsed="false">
      <c r="B116" s="6" t="s">
        <v>364</v>
      </c>
      <c r="C116" s="6" t="s">
        <v>331</v>
      </c>
      <c r="D116" s="6" t="s">
        <v>365</v>
      </c>
      <c r="E116" s="6" t="s">
        <v>366</v>
      </c>
      <c r="F116" s="6" t="s">
        <v>14</v>
      </c>
      <c r="G116" s="6" t="s">
        <v>15</v>
      </c>
      <c r="H116" s="6" t="s">
        <v>17</v>
      </c>
      <c r="I116" s="6" t="s">
        <v>17</v>
      </c>
      <c r="J116" s="6" t="s">
        <v>18</v>
      </c>
    </row>
    <row r="117" customFormat="false" ht="30" hidden="false" customHeight="true" outlineLevel="0" collapsed="false">
      <c r="B117" s="4" t="s">
        <v>367</v>
      </c>
      <c r="C117" s="4" t="s">
        <v>331</v>
      </c>
      <c r="D117" s="4" t="s">
        <v>368</v>
      </c>
      <c r="E117" s="4" t="s">
        <v>369</v>
      </c>
      <c r="F117" s="4" t="s">
        <v>51</v>
      </c>
      <c r="G117" s="4" t="s">
        <v>15</v>
      </c>
      <c r="H117" s="5" t="s">
        <v>16</v>
      </c>
      <c r="I117" s="5" t="s">
        <v>22</v>
      </c>
      <c r="J117" s="4" t="s">
        <v>18</v>
      </c>
    </row>
    <row r="118" customFormat="false" ht="30" hidden="false" customHeight="true" outlineLevel="0" collapsed="false">
      <c r="B118" s="6" t="s">
        <v>370</v>
      </c>
      <c r="C118" s="6" t="s">
        <v>331</v>
      </c>
      <c r="D118" s="6" t="s">
        <v>371</v>
      </c>
      <c r="E118" s="6" t="s">
        <v>372</v>
      </c>
      <c r="F118" s="6" t="s">
        <v>14</v>
      </c>
      <c r="G118" s="6" t="s">
        <v>15</v>
      </c>
      <c r="H118" s="6" t="s">
        <v>17</v>
      </c>
      <c r="I118" s="7" t="s">
        <v>22</v>
      </c>
      <c r="J118" s="6" t="s">
        <v>31</v>
      </c>
    </row>
    <row r="119" customFormat="false" ht="30" hidden="false" customHeight="true" outlineLevel="0" collapsed="false">
      <c r="B119" s="4" t="s">
        <v>373</v>
      </c>
      <c r="C119" s="4" t="s">
        <v>331</v>
      </c>
      <c r="D119" s="4" t="s">
        <v>374</v>
      </c>
      <c r="E119" s="4" t="s">
        <v>375</v>
      </c>
      <c r="F119" s="4" t="s">
        <v>58</v>
      </c>
      <c r="G119" s="4" t="s">
        <v>15</v>
      </c>
      <c r="H119" s="4" t="s">
        <v>17</v>
      </c>
      <c r="I119" s="5" t="s">
        <v>22</v>
      </c>
      <c r="J119" s="4" t="s">
        <v>18</v>
      </c>
    </row>
    <row r="120" customFormat="false" ht="30" hidden="false" customHeight="true" outlineLevel="0" collapsed="false">
      <c r="B120" s="6" t="s">
        <v>376</v>
      </c>
      <c r="C120" s="6" t="s">
        <v>331</v>
      </c>
      <c r="D120" s="6" t="s">
        <v>377</v>
      </c>
      <c r="E120" s="6" t="s">
        <v>378</v>
      </c>
      <c r="F120" s="6" t="s">
        <v>58</v>
      </c>
      <c r="G120" s="6" t="s">
        <v>15</v>
      </c>
      <c r="H120" s="6" t="s">
        <v>17</v>
      </c>
      <c r="I120" s="7" t="s">
        <v>22</v>
      </c>
      <c r="J120" s="6" t="s">
        <v>18</v>
      </c>
    </row>
    <row r="121" customFormat="false" ht="30" hidden="false" customHeight="true" outlineLevel="0" collapsed="false">
      <c r="B121" s="4" t="s">
        <v>379</v>
      </c>
      <c r="C121" s="4" t="s">
        <v>331</v>
      </c>
      <c r="D121" s="4" t="s">
        <v>380</v>
      </c>
      <c r="E121" s="4" t="s">
        <v>381</v>
      </c>
      <c r="F121" s="4" t="s">
        <v>97</v>
      </c>
      <c r="G121" s="4" t="s">
        <v>15</v>
      </c>
      <c r="H121" s="4" t="s">
        <v>17</v>
      </c>
      <c r="I121" s="5" t="s">
        <v>22</v>
      </c>
      <c r="J121" s="4" t="s">
        <v>18</v>
      </c>
    </row>
    <row r="122" customFormat="false" ht="30" hidden="false" customHeight="true" outlineLevel="0" collapsed="false">
      <c r="B122" s="6" t="s">
        <v>382</v>
      </c>
      <c r="C122" s="6" t="s">
        <v>331</v>
      </c>
      <c r="D122" s="6" t="s">
        <v>383</v>
      </c>
      <c r="E122" s="6" t="s">
        <v>384</v>
      </c>
      <c r="F122" s="6" t="s">
        <v>29</v>
      </c>
      <c r="G122" s="6" t="s">
        <v>15</v>
      </c>
      <c r="H122" s="6" t="s">
        <v>17</v>
      </c>
      <c r="I122" s="7" t="s">
        <v>22</v>
      </c>
      <c r="J122" s="6" t="s">
        <v>18</v>
      </c>
    </row>
    <row r="123" customFormat="false" ht="30" hidden="false" customHeight="true" outlineLevel="0" collapsed="false">
      <c r="B123" s="4" t="s">
        <v>385</v>
      </c>
      <c r="C123" s="4" t="s">
        <v>331</v>
      </c>
      <c r="D123" s="4" t="s">
        <v>386</v>
      </c>
      <c r="E123" s="4" t="s">
        <v>387</v>
      </c>
      <c r="F123" s="4" t="s">
        <v>29</v>
      </c>
      <c r="G123" s="4" t="s">
        <v>30</v>
      </c>
      <c r="H123" s="4" t="s">
        <v>17</v>
      </c>
      <c r="I123" s="5" t="s">
        <v>22</v>
      </c>
      <c r="J123" s="4" t="s">
        <v>31</v>
      </c>
    </row>
    <row r="124" customFormat="false" ht="30" hidden="false" customHeight="true" outlineLevel="0" collapsed="false">
      <c r="B124" s="6" t="s">
        <v>388</v>
      </c>
      <c r="C124" s="6" t="s">
        <v>331</v>
      </c>
      <c r="D124" s="6" t="s">
        <v>389</v>
      </c>
      <c r="E124" s="6" t="s">
        <v>390</v>
      </c>
      <c r="F124" s="6" t="s">
        <v>14</v>
      </c>
      <c r="G124" s="6" t="s">
        <v>15</v>
      </c>
      <c r="H124" s="7" t="s">
        <v>16</v>
      </c>
      <c r="I124" s="6" t="s">
        <v>17</v>
      </c>
      <c r="J124" s="6" t="s">
        <v>18</v>
      </c>
    </row>
    <row r="125" customFormat="false" ht="30" hidden="false" customHeight="true" outlineLevel="0" collapsed="false">
      <c r="B125" s="4" t="s">
        <v>391</v>
      </c>
      <c r="C125" s="4" t="s">
        <v>392</v>
      </c>
      <c r="D125" s="4" t="s">
        <v>393</v>
      </c>
      <c r="E125" s="4" t="s">
        <v>394</v>
      </c>
      <c r="F125" s="4" t="s">
        <v>14</v>
      </c>
      <c r="G125" s="4" t="s">
        <v>15</v>
      </c>
      <c r="H125" s="5" t="s">
        <v>16</v>
      </c>
      <c r="I125" s="5" t="s">
        <v>22</v>
      </c>
      <c r="J125" s="4" t="s">
        <v>18</v>
      </c>
    </row>
    <row r="126" customFormat="false" ht="30" hidden="false" customHeight="true" outlineLevel="0" collapsed="false">
      <c r="B126" s="6" t="s">
        <v>395</v>
      </c>
      <c r="C126" s="6" t="s">
        <v>392</v>
      </c>
      <c r="D126" s="6" t="s">
        <v>396</v>
      </c>
      <c r="E126" s="6" t="s">
        <v>397</v>
      </c>
      <c r="F126" s="6" t="s">
        <v>58</v>
      </c>
      <c r="G126" s="6" t="s">
        <v>15</v>
      </c>
      <c r="H126" s="7" t="s">
        <v>16</v>
      </c>
      <c r="I126" s="7" t="s">
        <v>22</v>
      </c>
      <c r="J126" s="6" t="s">
        <v>18</v>
      </c>
    </row>
    <row r="127" customFormat="false" ht="30" hidden="false" customHeight="true" outlineLevel="0" collapsed="false">
      <c r="B127" s="4" t="s">
        <v>398</v>
      </c>
      <c r="C127" s="4" t="s">
        <v>392</v>
      </c>
      <c r="D127" s="4" t="s">
        <v>399</v>
      </c>
      <c r="E127" s="4" t="s">
        <v>400</v>
      </c>
      <c r="F127" s="4" t="s">
        <v>58</v>
      </c>
      <c r="G127" s="4" t="s">
        <v>15</v>
      </c>
      <c r="H127" s="5" t="s">
        <v>16</v>
      </c>
      <c r="I127" s="4" t="s">
        <v>17</v>
      </c>
      <c r="J127" s="4" t="s">
        <v>18</v>
      </c>
    </row>
    <row r="128" customFormat="false" ht="30" hidden="false" customHeight="true" outlineLevel="0" collapsed="false">
      <c r="B128" s="6" t="s">
        <v>401</v>
      </c>
      <c r="C128" s="6" t="s">
        <v>392</v>
      </c>
      <c r="D128" s="6" t="s">
        <v>402</v>
      </c>
      <c r="E128" s="6" t="s">
        <v>403</v>
      </c>
      <c r="F128" s="6" t="s">
        <v>97</v>
      </c>
      <c r="G128" s="6" t="s">
        <v>15</v>
      </c>
      <c r="H128" s="7" t="s">
        <v>16</v>
      </c>
      <c r="I128" s="6" t="s">
        <v>17</v>
      </c>
      <c r="J128" s="6" t="s">
        <v>18</v>
      </c>
    </row>
    <row r="129" customFormat="false" ht="30" hidden="false" customHeight="true" outlineLevel="0" collapsed="false">
      <c r="B129" s="4" t="s">
        <v>404</v>
      </c>
      <c r="C129" s="4" t="s">
        <v>392</v>
      </c>
      <c r="D129" s="4" t="s">
        <v>405</v>
      </c>
      <c r="E129" s="4" t="s">
        <v>406</v>
      </c>
      <c r="F129" s="4" t="s">
        <v>58</v>
      </c>
      <c r="G129" s="4" t="s">
        <v>15</v>
      </c>
      <c r="H129" s="4" t="s">
        <v>17</v>
      </c>
      <c r="I129" s="4" t="s">
        <v>17</v>
      </c>
      <c r="J129" s="4" t="s">
        <v>31</v>
      </c>
    </row>
    <row r="130" customFormat="false" ht="30" hidden="false" customHeight="true" outlineLevel="0" collapsed="false">
      <c r="B130" s="6" t="s">
        <v>407</v>
      </c>
      <c r="C130" s="6" t="s">
        <v>392</v>
      </c>
      <c r="D130" s="6" t="s">
        <v>408</v>
      </c>
      <c r="E130" s="6" t="s">
        <v>409</v>
      </c>
      <c r="F130" s="6" t="s">
        <v>97</v>
      </c>
      <c r="G130" s="6" t="s">
        <v>15</v>
      </c>
      <c r="H130" s="7" t="s">
        <v>16</v>
      </c>
      <c r="I130" s="7" t="s">
        <v>22</v>
      </c>
      <c r="J130" s="6" t="s">
        <v>18</v>
      </c>
    </row>
    <row r="131" customFormat="false" ht="30" hidden="false" customHeight="true" outlineLevel="0" collapsed="false">
      <c r="B131" s="4" t="s">
        <v>410</v>
      </c>
      <c r="C131" s="4" t="s">
        <v>392</v>
      </c>
      <c r="D131" s="4" t="s">
        <v>411</v>
      </c>
      <c r="E131" s="4" t="s">
        <v>412</v>
      </c>
      <c r="F131" s="4" t="s">
        <v>29</v>
      </c>
      <c r="G131" s="4" t="s">
        <v>15</v>
      </c>
      <c r="H131" s="4" t="s">
        <v>17</v>
      </c>
      <c r="I131" s="5" t="s">
        <v>22</v>
      </c>
      <c r="J131" s="4" t="s">
        <v>31</v>
      </c>
    </row>
    <row r="132" customFormat="false" ht="30" hidden="false" customHeight="true" outlineLevel="0" collapsed="false">
      <c r="B132" s="6" t="s">
        <v>413</v>
      </c>
      <c r="C132" s="6" t="s">
        <v>392</v>
      </c>
      <c r="D132" s="6" t="s">
        <v>414</v>
      </c>
      <c r="E132" s="6" t="s">
        <v>415</v>
      </c>
      <c r="F132" s="6" t="s">
        <v>29</v>
      </c>
      <c r="G132" s="6" t="s">
        <v>15</v>
      </c>
      <c r="H132" s="6" t="s">
        <v>17</v>
      </c>
      <c r="I132" s="7" t="s">
        <v>22</v>
      </c>
      <c r="J132" s="6" t="s">
        <v>18</v>
      </c>
    </row>
    <row r="133" customFormat="false" ht="30" hidden="false" customHeight="true" outlineLevel="0" collapsed="false">
      <c r="B133" s="4" t="s">
        <v>416</v>
      </c>
      <c r="C133" s="4" t="s">
        <v>392</v>
      </c>
      <c r="D133" s="4" t="s">
        <v>417</v>
      </c>
      <c r="E133" s="4" t="s">
        <v>418</v>
      </c>
      <c r="F133" s="4" t="s">
        <v>35</v>
      </c>
      <c r="G133" s="4" t="s">
        <v>15</v>
      </c>
      <c r="H133" s="5" t="s">
        <v>16</v>
      </c>
      <c r="I133" s="4" t="s">
        <v>17</v>
      </c>
      <c r="J133" s="4" t="s">
        <v>18</v>
      </c>
    </row>
    <row r="134" customFormat="false" ht="30" hidden="false" customHeight="true" outlineLevel="0" collapsed="false">
      <c r="B134" s="6" t="s">
        <v>419</v>
      </c>
      <c r="C134" s="6" t="s">
        <v>392</v>
      </c>
      <c r="D134" s="6" t="s">
        <v>420</v>
      </c>
      <c r="E134" s="6" t="s">
        <v>421</v>
      </c>
      <c r="F134" s="6" t="s">
        <v>14</v>
      </c>
      <c r="G134" s="6" t="s">
        <v>15</v>
      </c>
      <c r="H134" s="6" t="s">
        <v>17</v>
      </c>
      <c r="I134" s="7" t="s">
        <v>22</v>
      </c>
      <c r="J134" s="6" t="s">
        <v>211</v>
      </c>
    </row>
    <row r="135" customFormat="false" ht="30" hidden="false" customHeight="true" outlineLevel="0" collapsed="false">
      <c r="B135" s="4" t="s">
        <v>422</v>
      </c>
      <c r="C135" s="4" t="s">
        <v>392</v>
      </c>
      <c r="D135" s="4" t="s">
        <v>423</v>
      </c>
      <c r="E135" s="4" t="s">
        <v>424</v>
      </c>
      <c r="F135" s="4" t="s">
        <v>97</v>
      </c>
      <c r="G135" s="4" t="s">
        <v>15</v>
      </c>
      <c r="H135" s="4" t="s">
        <v>17</v>
      </c>
      <c r="I135" s="5" t="s">
        <v>22</v>
      </c>
      <c r="J135" s="4" t="s">
        <v>18</v>
      </c>
    </row>
    <row r="136" customFormat="false" ht="30" hidden="false" customHeight="true" outlineLevel="0" collapsed="false">
      <c r="B136" s="6" t="s">
        <v>425</v>
      </c>
      <c r="C136" s="6" t="s">
        <v>392</v>
      </c>
      <c r="D136" s="6" t="s">
        <v>426</v>
      </c>
      <c r="E136" s="6" t="s">
        <v>427</v>
      </c>
      <c r="F136" s="6" t="s">
        <v>58</v>
      </c>
      <c r="G136" s="6" t="s">
        <v>15</v>
      </c>
      <c r="H136" s="7" t="s">
        <v>16</v>
      </c>
      <c r="I136" s="6" t="s">
        <v>17</v>
      </c>
      <c r="J136" s="6" t="s">
        <v>18</v>
      </c>
    </row>
    <row r="137" customFormat="false" ht="30" hidden="false" customHeight="true" outlineLevel="0" collapsed="false">
      <c r="B137" s="4" t="s">
        <v>428</v>
      </c>
      <c r="C137" s="4" t="s">
        <v>392</v>
      </c>
      <c r="D137" s="4" t="s">
        <v>429</v>
      </c>
      <c r="E137" s="4" t="s">
        <v>430</v>
      </c>
      <c r="F137" s="4" t="s">
        <v>58</v>
      </c>
      <c r="G137" s="4" t="s">
        <v>15</v>
      </c>
      <c r="H137" s="4" t="s">
        <v>17</v>
      </c>
      <c r="I137" s="4" t="s">
        <v>17</v>
      </c>
      <c r="J137" s="4" t="s">
        <v>211</v>
      </c>
    </row>
    <row r="138" customFormat="false" ht="30" hidden="false" customHeight="true" outlineLevel="0" collapsed="false">
      <c r="B138" s="6" t="s">
        <v>431</v>
      </c>
      <c r="C138" s="6" t="s">
        <v>392</v>
      </c>
      <c r="D138" s="6" t="s">
        <v>432</v>
      </c>
      <c r="E138" s="6" t="s">
        <v>433</v>
      </c>
      <c r="F138" s="6" t="s">
        <v>14</v>
      </c>
      <c r="G138" s="6" t="s">
        <v>15</v>
      </c>
      <c r="H138" s="6" t="s">
        <v>17</v>
      </c>
      <c r="I138" s="7" t="s">
        <v>22</v>
      </c>
      <c r="J138" s="6" t="s">
        <v>18</v>
      </c>
    </row>
    <row r="139" customFormat="false" ht="30" hidden="false" customHeight="true" outlineLevel="0" collapsed="false">
      <c r="B139" s="4" t="s">
        <v>434</v>
      </c>
      <c r="C139" s="4" t="s">
        <v>392</v>
      </c>
      <c r="D139" s="4" t="s">
        <v>435</v>
      </c>
      <c r="E139" s="4" t="s">
        <v>436</v>
      </c>
      <c r="F139" s="4" t="s">
        <v>97</v>
      </c>
      <c r="G139" s="4" t="s">
        <v>15</v>
      </c>
      <c r="H139" s="4" t="s">
        <v>17</v>
      </c>
      <c r="I139" s="5" t="s">
        <v>22</v>
      </c>
      <c r="J139" s="4" t="s">
        <v>18</v>
      </c>
    </row>
    <row r="140" customFormat="false" ht="30" hidden="false" customHeight="true" outlineLevel="0" collapsed="false">
      <c r="B140" s="6" t="s">
        <v>437</v>
      </c>
      <c r="C140" s="6" t="s">
        <v>392</v>
      </c>
      <c r="D140" s="6" t="s">
        <v>438</v>
      </c>
      <c r="E140" s="6" t="s">
        <v>439</v>
      </c>
      <c r="F140" s="6" t="s">
        <v>29</v>
      </c>
      <c r="G140" s="6" t="s">
        <v>15</v>
      </c>
      <c r="H140" s="6" t="s">
        <v>17</v>
      </c>
      <c r="I140" s="7" t="s">
        <v>22</v>
      </c>
      <c r="J140" s="6" t="s">
        <v>18</v>
      </c>
    </row>
    <row r="141" customFormat="false" ht="30" hidden="false" customHeight="true" outlineLevel="0" collapsed="false">
      <c r="B141" s="4" t="s">
        <v>440</v>
      </c>
      <c r="C141" s="4" t="s">
        <v>392</v>
      </c>
      <c r="D141" s="4" t="s">
        <v>441</v>
      </c>
      <c r="E141" s="4" t="s">
        <v>442</v>
      </c>
      <c r="F141" s="4" t="s">
        <v>51</v>
      </c>
      <c r="G141" s="4" t="s">
        <v>15</v>
      </c>
      <c r="H141" s="4" t="s">
        <v>17</v>
      </c>
      <c r="I141" s="4" t="s">
        <v>17</v>
      </c>
      <c r="J141" s="4" t="s">
        <v>31</v>
      </c>
    </row>
    <row r="142" customFormat="false" ht="30" hidden="false" customHeight="true" outlineLevel="0" collapsed="false">
      <c r="B142" s="6" t="s">
        <v>443</v>
      </c>
      <c r="C142" s="6" t="s">
        <v>392</v>
      </c>
      <c r="D142" s="6" t="s">
        <v>444</v>
      </c>
      <c r="E142" s="6" t="s">
        <v>445</v>
      </c>
      <c r="F142" s="6" t="s">
        <v>97</v>
      </c>
      <c r="G142" s="6" t="s">
        <v>15</v>
      </c>
      <c r="H142" s="6" t="s">
        <v>17</v>
      </c>
      <c r="I142" s="6" t="s">
        <v>17</v>
      </c>
      <c r="J142" s="6" t="s">
        <v>31</v>
      </c>
    </row>
    <row r="143" customFormat="false" ht="30" hidden="false" customHeight="true" outlineLevel="0" collapsed="false">
      <c r="B143" s="4" t="s">
        <v>446</v>
      </c>
      <c r="C143" s="4" t="s">
        <v>392</v>
      </c>
      <c r="D143" s="4" t="s">
        <v>447</v>
      </c>
      <c r="E143" s="4" t="s">
        <v>448</v>
      </c>
      <c r="F143" s="4" t="s">
        <v>29</v>
      </c>
      <c r="G143" s="4" t="s">
        <v>15</v>
      </c>
      <c r="H143" s="4" t="s">
        <v>17</v>
      </c>
      <c r="I143" s="5" t="s">
        <v>22</v>
      </c>
      <c r="J143" s="4" t="s">
        <v>31</v>
      </c>
    </row>
    <row r="144" customFormat="false" ht="30" hidden="false" customHeight="true" outlineLevel="0" collapsed="false">
      <c r="B144" s="6" t="s">
        <v>449</v>
      </c>
      <c r="C144" s="6" t="s">
        <v>392</v>
      </c>
      <c r="D144" s="6" t="s">
        <v>450</v>
      </c>
      <c r="E144" s="6" t="s">
        <v>451</v>
      </c>
      <c r="F144" s="6" t="s">
        <v>58</v>
      </c>
      <c r="G144" s="6" t="s">
        <v>15</v>
      </c>
      <c r="H144" s="6" t="s">
        <v>17</v>
      </c>
      <c r="I144" s="6" t="s">
        <v>17</v>
      </c>
      <c r="J144" s="6" t="s">
        <v>31</v>
      </c>
    </row>
    <row r="145" customFormat="false" ht="30" hidden="false" customHeight="true" outlineLevel="0" collapsed="false">
      <c r="B145" s="4" t="s">
        <v>452</v>
      </c>
      <c r="C145" s="4" t="s">
        <v>453</v>
      </c>
      <c r="D145" s="4" t="s">
        <v>454</v>
      </c>
      <c r="E145" s="4" t="s">
        <v>455</v>
      </c>
      <c r="F145" s="4" t="s">
        <v>29</v>
      </c>
      <c r="G145" s="4" t="s">
        <v>15</v>
      </c>
      <c r="H145" s="5" t="s">
        <v>16</v>
      </c>
      <c r="I145" s="5" t="s">
        <v>22</v>
      </c>
      <c r="J145" s="4" t="s">
        <v>18</v>
      </c>
    </row>
    <row r="146" customFormat="false" ht="30" hidden="false" customHeight="true" outlineLevel="0" collapsed="false">
      <c r="B146" s="6" t="s">
        <v>456</v>
      </c>
      <c r="C146" s="6" t="s">
        <v>453</v>
      </c>
      <c r="D146" s="6" t="s">
        <v>457</v>
      </c>
      <c r="E146" s="6" t="s">
        <v>458</v>
      </c>
      <c r="F146" s="6" t="s">
        <v>14</v>
      </c>
      <c r="G146" s="6" t="s">
        <v>15</v>
      </c>
      <c r="H146" s="7" t="s">
        <v>16</v>
      </c>
      <c r="I146" s="7" t="s">
        <v>22</v>
      </c>
      <c r="J146" s="6" t="s">
        <v>18</v>
      </c>
    </row>
    <row r="147" customFormat="false" ht="30" hidden="false" customHeight="true" outlineLevel="0" collapsed="false">
      <c r="B147" s="4" t="s">
        <v>459</v>
      </c>
      <c r="C147" s="4" t="s">
        <v>453</v>
      </c>
      <c r="D147" s="4" t="s">
        <v>460</v>
      </c>
      <c r="E147" s="4" t="s">
        <v>461</v>
      </c>
      <c r="F147" s="4" t="s">
        <v>58</v>
      </c>
      <c r="G147" s="4" t="s">
        <v>15</v>
      </c>
      <c r="H147" s="5" t="s">
        <v>16</v>
      </c>
      <c r="I147" s="5" t="s">
        <v>22</v>
      </c>
      <c r="J147" s="4" t="s">
        <v>18</v>
      </c>
    </row>
    <row r="148" customFormat="false" ht="30" hidden="false" customHeight="true" outlineLevel="0" collapsed="false">
      <c r="B148" s="6" t="s">
        <v>462</v>
      </c>
      <c r="C148" s="6" t="s">
        <v>453</v>
      </c>
      <c r="D148" s="6" t="s">
        <v>463</v>
      </c>
      <c r="E148" s="6" t="s">
        <v>464</v>
      </c>
      <c r="F148" s="6" t="s">
        <v>29</v>
      </c>
      <c r="G148" s="6" t="s">
        <v>15</v>
      </c>
      <c r="H148" s="7" t="s">
        <v>16</v>
      </c>
      <c r="I148" s="6" t="s">
        <v>17</v>
      </c>
      <c r="J148" s="6" t="s">
        <v>18</v>
      </c>
    </row>
    <row r="149" customFormat="false" ht="30" hidden="false" customHeight="true" outlineLevel="0" collapsed="false">
      <c r="B149" s="4" t="s">
        <v>465</v>
      </c>
      <c r="C149" s="4" t="s">
        <v>453</v>
      </c>
      <c r="D149" s="4" t="s">
        <v>466</v>
      </c>
      <c r="E149" s="4" t="s">
        <v>467</v>
      </c>
      <c r="F149" s="4" t="s">
        <v>58</v>
      </c>
      <c r="G149" s="4" t="s">
        <v>15</v>
      </c>
      <c r="H149" s="4" t="s">
        <v>17</v>
      </c>
      <c r="I149" s="4" t="s">
        <v>17</v>
      </c>
      <c r="J149" s="4" t="s">
        <v>31</v>
      </c>
    </row>
    <row r="150" customFormat="false" ht="30" hidden="false" customHeight="true" outlineLevel="0" collapsed="false">
      <c r="B150" s="6" t="s">
        <v>468</v>
      </c>
      <c r="C150" s="6" t="s">
        <v>453</v>
      </c>
      <c r="D150" s="6" t="s">
        <v>469</v>
      </c>
      <c r="E150" s="6" t="s">
        <v>470</v>
      </c>
      <c r="F150" s="6" t="s">
        <v>58</v>
      </c>
      <c r="G150" s="6" t="s">
        <v>15</v>
      </c>
      <c r="H150" s="7" t="s">
        <v>16</v>
      </c>
      <c r="I150" s="7" t="s">
        <v>22</v>
      </c>
      <c r="J150" s="6" t="s">
        <v>18</v>
      </c>
    </row>
    <row r="151" customFormat="false" ht="30" hidden="false" customHeight="true" outlineLevel="0" collapsed="false">
      <c r="B151" s="4" t="s">
        <v>471</v>
      </c>
      <c r="C151" s="4" t="s">
        <v>453</v>
      </c>
      <c r="D151" s="4" t="s">
        <v>472</v>
      </c>
      <c r="E151" s="4" t="s">
        <v>473</v>
      </c>
      <c r="F151" s="4" t="s">
        <v>51</v>
      </c>
      <c r="G151" s="4" t="s">
        <v>15</v>
      </c>
      <c r="H151" s="4" t="s">
        <v>17</v>
      </c>
      <c r="I151" s="5" t="s">
        <v>22</v>
      </c>
      <c r="J151" s="4" t="s">
        <v>211</v>
      </c>
    </row>
    <row r="152" customFormat="false" ht="30" hidden="false" customHeight="true" outlineLevel="0" collapsed="false">
      <c r="B152" s="6" t="s">
        <v>474</v>
      </c>
      <c r="C152" s="6" t="s">
        <v>453</v>
      </c>
      <c r="D152" s="6" t="s">
        <v>475</v>
      </c>
      <c r="E152" s="6" t="s">
        <v>476</v>
      </c>
      <c r="F152" s="6" t="s">
        <v>58</v>
      </c>
      <c r="G152" s="6" t="s">
        <v>15</v>
      </c>
      <c r="H152" s="6" t="s">
        <v>17</v>
      </c>
      <c r="I152" s="7" t="s">
        <v>22</v>
      </c>
      <c r="J152" s="6" t="s">
        <v>31</v>
      </c>
    </row>
    <row r="153" customFormat="false" ht="30" hidden="false" customHeight="true" outlineLevel="0" collapsed="false">
      <c r="B153" s="4" t="s">
        <v>477</v>
      </c>
      <c r="C153" s="4" t="s">
        <v>453</v>
      </c>
      <c r="D153" s="4" t="s">
        <v>478</v>
      </c>
      <c r="E153" s="4" t="s">
        <v>479</v>
      </c>
      <c r="F153" s="4" t="s">
        <v>58</v>
      </c>
      <c r="G153" s="4" t="s">
        <v>15</v>
      </c>
      <c r="H153" s="4" t="s">
        <v>17</v>
      </c>
      <c r="I153" s="4" t="s">
        <v>17</v>
      </c>
      <c r="J153" s="4" t="s">
        <v>31</v>
      </c>
    </row>
    <row r="154" customFormat="false" ht="30" hidden="false" customHeight="true" outlineLevel="0" collapsed="false">
      <c r="B154" s="6" t="s">
        <v>480</v>
      </c>
      <c r="C154" s="6" t="s">
        <v>453</v>
      </c>
      <c r="D154" s="6" t="s">
        <v>481</v>
      </c>
      <c r="E154" s="6" t="s">
        <v>482</v>
      </c>
      <c r="F154" s="6" t="s">
        <v>14</v>
      </c>
      <c r="G154" s="6" t="s">
        <v>15</v>
      </c>
      <c r="H154" s="6" t="s">
        <v>17</v>
      </c>
      <c r="I154" s="7" t="s">
        <v>22</v>
      </c>
      <c r="J154" s="6" t="s">
        <v>18</v>
      </c>
    </row>
    <row r="155" customFormat="false" ht="30" hidden="false" customHeight="true" outlineLevel="0" collapsed="false">
      <c r="B155" s="4" t="s">
        <v>483</v>
      </c>
      <c r="C155" s="4" t="s">
        <v>453</v>
      </c>
      <c r="D155" s="4" t="s">
        <v>484</v>
      </c>
      <c r="E155" s="4" t="s">
        <v>485</v>
      </c>
      <c r="F155" s="4" t="s">
        <v>58</v>
      </c>
      <c r="G155" s="4" t="s">
        <v>15</v>
      </c>
      <c r="H155" s="4" t="s">
        <v>17</v>
      </c>
      <c r="I155" s="5" t="s">
        <v>22</v>
      </c>
      <c r="J155" s="4" t="s">
        <v>18</v>
      </c>
    </row>
    <row r="156" customFormat="false" ht="30" hidden="false" customHeight="true" outlineLevel="0" collapsed="false">
      <c r="B156" s="6" t="s">
        <v>486</v>
      </c>
      <c r="C156" s="6" t="s">
        <v>453</v>
      </c>
      <c r="D156" s="6" t="s">
        <v>487</v>
      </c>
      <c r="E156" s="6" t="s">
        <v>488</v>
      </c>
      <c r="F156" s="6" t="s">
        <v>51</v>
      </c>
      <c r="G156" s="6" t="s">
        <v>15</v>
      </c>
      <c r="H156" s="6" t="s">
        <v>17</v>
      </c>
      <c r="I156" s="7" t="s">
        <v>22</v>
      </c>
      <c r="J156" s="6" t="s">
        <v>211</v>
      </c>
    </row>
    <row r="157" customFormat="false" ht="30" hidden="false" customHeight="true" outlineLevel="0" collapsed="false">
      <c r="B157" s="4" t="s">
        <v>489</v>
      </c>
      <c r="C157" s="4" t="s">
        <v>453</v>
      </c>
      <c r="D157" s="4" t="s">
        <v>490</v>
      </c>
      <c r="E157" s="4" t="s">
        <v>491</v>
      </c>
      <c r="F157" s="4" t="s">
        <v>29</v>
      </c>
      <c r="G157" s="4" t="s">
        <v>30</v>
      </c>
      <c r="H157" s="4" t="s">
        <v>17</v>
      </c>
      <c r="I157" s="5" t="s">
        <v>22</v>
      </c>
      <c r="J157" s="4" t="s">
        <v>31</v>
      </c>
    </row>
    <row r="158" customFormat="false" ht="30" hidden="false" customHeight="true" outlineLevel="0" collapsed="false">
      <c r="B158" s="6" t="s">
        <v>492</v>
      </c>
      <c r="C158" s="6" t="s">
        <v>453</v>
      </c>
      <c r="D158" s="6" t="s">
        <v>493</v>
      </c>
      <c r="E158" s="6" t="s">
        <v>494</v>
      </c>
      <c r="F158" s="6" t="s">
        <v>14</v>
      </c>
      <c r="G158" s="6" t="s">
        <v>15</v>
      </c>
      <c r="H158" s="6" t="s">
        <v>17</v>
      </c>
      <c r="I158" s="7" t="s">
        <v>22</v>
      </c>
      <c r="J158" s="6" t="s">
        <v>211</v>
      </c>
    </row>
    <row r="159" customFormat="false" ht="30" hidden="false" customHeight="true" outlineLevel="0" collapsed="false">
      <c r="B159" s="4" t="s">
        <v>495</v>
      </c>
      <c r="C159" s="4" t="s">
        <v>453</v>
      </c>
      <c r="D159" s="4" t="s">
        <v>496</v>
      </c>
      <c r="E159" s="4" t="s">
        <v>497</v>
      </c>
      <c r="F159" s="4" t="s">
        <v>58</v>
      </c>
      <c r="G159" s="4" t="s">
        <v>15</v>
      </c>
      <c r="H159" s="4" t="s">
        <v>17</v>
      </c>
      <c r="I159" s="4" t="s">
        <v>17</v>
      </c>
      <c r="J159" s="4" t="s">
        <v>18</v>
      </c>
    </row>
    <row r="160" customFormat="false" ht="30" hidden="false" customHeight="true" outlineLevel="0" collapsed="false">
      <c r="B160" s="6" t="s">
        <v>498</v>
      </c>
      <c r="C160" s="6" t="s">
        <v>453</v>
      </c>
      <c r="D160" s="6" t="s">
        <v>499</v>
      </c>
      <c r="E160" s="6" t="s">
        <v>500</v>
      </c>
      <c r="F160" s="6" t="s">
        <v>35</v>
      </c>
      <c r="G160" s="6" t="s">
        <v>15</v>
      </c>
      <c r="H160" s="7" t="s">
        <v>16</v>
      </c>
      <c r="I160" s="6" t="s">
        <v>17</v>
      </c>
      <c r="J160" s="6" t="s">
        <v>18</v>
      </c>
    </row>
    <row r="161" customFormat="false" ht="30" hidden="false" customHeight="true" outlineLevel="0" collapsed="false">
      <c r="B161" s="4" t="s">
        <v>501</v>
      </c>
      <c r="C161" s="4" t="s">
        <v>453</v>
      </c>
      <c r="D161" s="4" t="s">
        <v>502</v>
      </c>
      <c r="E161" s="4" t="s">
        <v>503</v>
      </c>
      <c r="F161" s="4" t="s">
        <v>14</v>
      </c>
      <c r="G161" s="4" t="s">
        <v>15</v>
      </c>
      <c r="H161" s="4" t="s">
        <v>17</v>
      </c>
      <c r="I161" s="5" t="s">
        <v>22</v>
      </c>
      <c r="J161" s="4" t="s">
        <v>18</v>
      </c>
    </row>
    <row r="162" customFormat="false" ht="30" hidden="false" customHeight="true" outlineLevel="0" collapsed="false">
      <c r="B162" s="6" t="s">
        <v>504</v>
      </c>
      <c r="C162" s="6" t="s">
        <v>453</v>
      </c>
      <c r="D162" s="6" t="s">
        <v>505</v>
      </c>
      <c r="E162" s="6" t="s">
        <v>506</v>
      </c>
      <c r="F162" s="6" t="s">
        <v>58</v>
      </c>
      <c r="G162" s="6" t="s">
        <v>30</v>
      </c>
      <c r="H162" s="6" t="s">
        <v>17</v>
      </c>
      <c r="I162" s="7" t="s">
        <v>22</v>
      </c>
      <c r="J162" s="6" t="s">
        <v>31</v>
      </c>
    </row>
    <row r="163" customFormat="false" ht="30" hidden="false" customHeight="true" outlineLevel="0" collapsed="false">
      <c r="B163" s="4" t="s">
        <v>507</v>
      </c>
      <c r="C163" s="4" t="s">
        <v>453</v>
      </c>
      <c r="D163" s="4" t="s">
        <v>508</v>
      </c>
      <c r="E163" s="4" t="s">
        <v>509</v>
      </c>
      <c r="F163" s="4" t="s">
        <v>29</v>
      </c>
      <c r="G163" s="4" t="s">
        <v>30</v>
      </c>
      <c r="H163" s="4" t="s">
        <v>17</v>
      </c>
      <c r="I163" s="5" t="s">
        <v>22</v>
      </c>
      <c r="J163" s="4" t="s">
        <v>31</v>
      </c>
    </row>
    <row r="164" customFormat="false" ht="30" hidden="false" customHeight="true" outlineLevel="0" collapsed="false">
      <c r="B164" s="6" t="s">
        <v>510</v>
      </c>
      <c r="C164" s="6" t="s">
        <v>453</v>
      </c>
      <c r="D164" s="6" t="s">
        <v>511</v>
      </c>
      <c r="E164" s="6" t="s">
        <v>512</v>
      </c>
      <c r="F164" s="6" t="s">
        <v>58</v>
      </c>
      <c r="G164" s="6" t="s">
        <v>15</v>
      </c>
      <c r="H164" s="6" t="s">
        <v>17</v>
      </c>
      <c r="I164" s="8" t="s">
        <v>59</v>
      </c>
      <c r="J164" s="6" t="s">
        <v>18</v>
      </c>
    </row>
    <row r="165" customFormat="false" ht="30" hidden="false" customHeight="true" outlineLevel="0" collapsed="false">
      <c r="B165" s="4" t="s">
        <v>513</v>
      </c>
      <c r="C165" s="4" t="s">
        <v>514</v>
      </c>
      <c r="D165" s="4" t="s">
        <v>515</v>
      </c>
      <c r="E165" s="4" t="s">
        <v>516</v>
      </c>
      <c r="F165" s="4" t="s">
        <v>97</v>
      </c>
      <c r="G165" s="4" t="s">
        <v>30</v>
      </c>
      <c r="H165" s="5" t="s">
        <v>16</v>
      </c>
      <c r="I165" s="5" t="s">
        <v>22</v>
      </c>
      <c r="J165" s="4" t="s">
        <v>31</v>
      </c>
    </row>
    <row r="166" customFormat="false" ht="30" hidden="false" customHeight="true" outlineLevel="0" collapsed="false">
      <c r="B166" s="6" t="s">
        <v>517</v>
      </c>
      <c r="C166" s="6" t="s">
        <v>514</v>
      </c>
      <c r="D166" s="6" t="s">
        <v>518</v>
      </c>
      <c r="E166" s="6" t="s">
        <v>519</v>
      </c>
      <c r="F166" s="6" t="s">
        <v>29</v>
      </c>
      <c r="G166" s="6" t="s">
        <v>30</v>
      </c>
      <c r="H166" s="7" t="s">
        <v>16</v>
      </c>
      <c r="I166" s="6" t="s">
        <v>17</v>
      </c>
      <c r="J166" s="6" t="s">
        <v>31</v>
      </c>
    </row>
    <row r="167" customFormat="false" ht="30" hidden="false" customHeight="true" outlineLevel="0" collapsed="false">
      <c r="B167" s="4" t="s">
        <v>520</v>
      </c>
      <c r="C167" s="4" t="s">
        <v>514</v>
      </c>
      <c r="D167" s="4" t="s">
        <v>521</v>
      </c>
      <c r="E167" s="4" t="s">
        <v>522</v>
      </c>
      <c r="F167" s="4" t="s">
        <v>29</v>
      </c>
      <c r="G167" s="4" t="s">
        <v>30</v>
      </c>
      <c r="H167" s="5" t="s">
        <v>16</v>
      </c>
      <c r="I167" s="9" t="s">
        <v>59</v>
      </c>
      <c r="J167" s="4" t="s">
        <v>31</v>
      </c>
    </row>
    <row r="168" customFormat="false" ht="30" hidden="false" customHeight="true" outlineLevel="0" collapsed="false">
      <c r="B168" s="6" t="s">
        <v>523</v>
      </c>
      <c r="C168" s="6" t="s">
        <v>514</v>
      </c>
      <c r="D168" s="6" t="s">
        <v>524</v>
      </c>
      <c r="E168" s="6" t="s">
        <v>525</v>
      </c>
      <c r="F168" s="6" t="s">
        <v>97</v>
      </c>
      <c r="G168" s="6" t="s">
        <v>30</v>
      </c>
      <c r="H168" s="7" t="s">
        <v>16</v>
      </c>
      <c r="I168" s="6" t="s">
        <v>17</v>
      </c>
      <c r="J168" s="6" t="s">
        <v>31</v>
      </c>
    </row>
    <row r="169" customFormat="false" ht="30" hidden="false" customHeight="true" outlineLevel="0" collapsed="false">
      <c r="B169" s="4" t="s">
        <v>526</v>
      </c>
      <c r="C169" s="4" t="s">
        <v>514</v>
      </c>
      <c r="D169" s="4" t="s">
        <v>527</v>
      </c>
      <c r="E169" s="4" t="s">
        <v>528</v>
      </c>
      <c r="F169" s="4" t="s">
        <v>58</v>
      </c>
      <c r="G169" s="4" t="s">
        <v>30</v>
      </c>
      <c r="H169" s="5" t="s">
        <v>16</v>
      </c>
      <c r="I169" s="4" t="s">
        <v>17</v>
      </c>
      <c r="J169" s="4" t="s">
        <v>31</v>
      </c>
    </row>
    <row r="170" customFormat="false" ht="30" hidden="false" customHeight="true" outlineLevel="0" collapsed="false">
      <c r="B170" s="6" t="s">
        <v>529</v>
      </c>
      <c r="C170" s="6" t="s">
        <v>514</v>
      </c>
      <c r="D170" s="6" t="s">
        <v>530</v>
      </c>
      <c r="E170" s="6" t="s">
        <v>531</v>
      </c>
      <c r="F170" s="6" t="s">
        <v>29</v>
      </c>
      <c r="G170" s="6" t="s">
        <v>30</v>
      </c>
      <c r="H170" s="7" t="s">
        <v>16</v>
      </c>
      <c r="I170" s="6" t="s">
        <v>17</v>
      </c>
      <c r="J170" s="6" t="s">
        <v>31</v>
      </c>
    </row>
    <row r="171" customFormat="false" ht="30" hidden="false" customHeight="true" outlineLevel="0" collapsed="false">
      <c r="B171" s="4" t="s">
        <v>532</v>
      </c>
      <c r="C171" s="4" t="s">
        <v>514</v>
      </c>
      <c r="D171" s="4" t="s">
        <v>533</v>
      </c>
      <c r="E171" s="4" t="s">
        <v>534</v>
      </c>
      <c r="F171" s="4" t="s">
        <v>97</v>
      </c>
      <c r="G171" s="4" t="s">
        <v>30</v>
      </c>
      <c r="H171" s="4" t="s">
        <v>17</v>
      </c>
      <c r="I171" s="5" t="s">
        <v>22</v>
      </c>
      <c r="J171" s="4" t="s">
        <v>31</v>
      </c>
    </row>
    <row r="172" customFormat="false" ht="30" hidden="false" customHeight="true" outlineLevel="0" collapsed="false">
      <c r="B172" s="6" t="s">
        <v>535</v>
      </c>
      <c r="C172" s="6" t="s">
        <v>514</v>
      </c>
      <c r="D172" s="6" t="s">
        <v>536</v>
      </c>
      <c r="E172" s="6" t="s">
        <v>537</v>
      </c>
      <c r="F172" s="6" t="s">
        <v>29</v>
      </c>
      <c r="G172" s="6" t="s">
        <v>30</v>
      </c>
      <c r="H172" s="7" t="s">
        <v>16</v>
      </c>
      <c r="I172" s="6" t="s">
        <v>17</v>
      </c>
      <c r="J172" s="6" t="s">
        <v>31</v>
      </c>
    </row>
    <row r="173" customFormat="false" ht="30" hidden="false" customHeight="true" outlineLevel="0" collapsed="false">
      <c r="B173" s="4" t="s">
        <v>538</v>
      </c>
      <c r="C173" s="4" t="s">
        <v>514</v>
      </c>
      <c r="D173" s="4" t="s">
        <v>539</v>
      </c>
      <c r="E173" s="4" t="s">
        <v>540</v>
      </c>
      <c r="F173" s="4" t="s">
        <v>35</v>
      </c>
      <c r="G173" s="4" t="s">
        <v>30</v>
      </c>
      <c r="H173" s="4" t="s">
        <v>17</v>
      </c>
      <c r="I173" s="9" t="s">
        <v>59</v>
      </c>
      <c r="J173" s="4" t="s">
        <v>31</v>
      </c>
    </row>
    <row r="174" customFormat="false" ht="30" hidden="false" customHeight="true" outlineLevel="0" collapsed="false">
      <c r="B174" s="6" t="s">
        <v>541</v>
      </c>
      <c r="C174" s="6" t="s">
        <v>514</v>
      </c>
      <c r="D174" s="6" t="s">
        <v>542</v>
      </c>
      <c r="E174" s="6" t="s">
        <v>543</v>
      </c>
      <c r="F174" s="6" t="s">
        <v>29</v>
      </c>
      <c r="G174" s="6" t="s">
        <v>30</v>
      </c>
      <c r="H174" s="6" t="s">
        <v>17</v>
      </c>
      <c r="I174" s="6" t="s">
        <v>17</v>
      </c>
      <c r="J174" s="6" t="s">
        <v>31</v>
      </c>
    </row>
    <row r="175" customFormat="false" ht="30" hidden="false" customHeight="true" outlineLevel="0" collapsed="false">
      <c r="B175" s="4" t="s">
        <v>544</v>
      </c>
      <c r="C175" s="4" t="s">
        <v>514</v>
      </c>
      <c r="D175" s="4" t="s">
        <v>545</v>
      </c>
      <c r="E175" s="4" t="s">
        <v>546</v>
      </c>
      <c r="F175" s="4" t="s">
        <v>97</v>
      </c>
      <c r="G175" s="4" t="s">
        <v>30</v>
      </c>
      <c r="H175" s="5" t="s">
        <v>16</v>
      </c>
      <c r="I175" s="4" t="s">
        <v>17</v>
      </c>
      <c r="J175" s="4" t="s">
        <v>31</v>
      </c>
    </row>
    <row r="176" customFormat="false" ht="30" hidden="false" customHeight="true" outlineLevel="0" collapsed="false">
      <c r="B176" s="6" t="s">
        <v>547</v>
      </c>
      <c r="C176" s="6" t="s">
        <v>514</v>
      </c>
      <c r="D176" s="6" t="s">
        <v>548</v>
      </c>
      <c r="E176" s="6" t="s">
        <v>549</v>
      </c>
      <c r="F176" s="6" t="s">
        <v>58</v>
      </c>
      <c r="G176" s="6" t="s">
        <v>30</v>
      </c>
      <c r="H176" s="6" t="s">
        <v>17</v>
      </c>
      <c r="I176" s="8" t="s">
        <v>59</v>
      </c>
      <c r="J176" s="6" t="s">
        <v>31</v>
      </c>
    </row>
    <row r="177" customFormat="false" ht="30" hidden="false" customHeight="true" outlineLevel="0" collapsed="false">
      <c r="B177" s="4" t="s">
        <v>550</v>
      </c>
      <c r="C177" s="4" t="s">
        <v>514</v>
      </c>
      <c r="D177" s="4" t="s">
        <v>551</v>
      </c>
      <c r="E177" s="4" t="s">
        <v>552</v>
      </c>
      <c r="F177" s="4" t="s">
        <v>97</v>
      </c>
      <c r="G177" s="4" t="s">
        <v>15</v>
      </c>
      <c r="H177" s="5" t="s">
        <v>16</v>
      </c>
      <c r="I177" s="4" t="s">
        <v>17</v>
      </c>
      <c r="J177" s="4" t="s">
        <v>18</v>
      </c>
    </row>
    <row r="178" customFormat="false" ht="30" hidden="false" customHeight="true" outlineLevel="0" collapsed="false">
      <c r="B178" s="6" t="s">
        <v>553</v>
      </c>
      <c r="C178" s="6" t="s">
        <v>514</v>
      </c>
      <c r="D178" s="6" t="s">
        <v>554</v>
      </c>
      <c r="E178" s="6" t="s">
        <v>555</v>
      </c>
      <c r="F178" s="6" t="s">
        <v>97</v>
      </c>
      <c r="G178" s="6" t="s">
        <v>15</v>
      </c>
      <c r="H178" s="7" t="s">
        <v>16</v>
      </c>
      <c r="I178" s="6" t="s">
        <v>17</v>
      </c>
      <c r="J178" s="6" t="s">
        <v>31</v>
      </c>
    </row>
    <row r="179" customFormat="false" ht="30" hidden="false" customHeight="true" outlineLevel="0" collapsed="false">
      <c r="B179" s="4" t="s">
        <v>556</v>
      </c>
      <c r="C179" s="4" t="s">
        <v>514</v>
      </c>
      <c r="D179" s="4" t="s">
        <v>557</v>
      </c>
      <c r="E179" s="4" t="s">
        <v>558</v>
      </c>
      <c r="F179" s="4" t="s">
        <v>97</v>
      </c>
      <c r="G179" s="4" t="s">
        <v>30</v>
      </c>
      <c r="H179" s="5" t="s">
        <v>16</v>
      </c>
      <c r="I179" s="9" t="s">
        <v>59</v>
      </c>
      <c r="J179" s="4" t="s">
        <v>31</v>
      </c>
    </row>
    <row r="180" customFormat="false" ht="30" hidden="false" customHeight="true" outlineLevel="0" collapsed="false">
      <c r="B180" s="6" t="s">
        <v>559</v>
      </c>
      <c r="C180" s="6" t="s">
        <v>514</v>
      </c>
      <c r="D180" s="6" t="s">
        <v>560</v>
      </c>
      <c r="E180" s="6" t="s">
        <v>561</v>
      </c>
      <c r="F180" s="6" t="s">
        <v>35</v>
      </c>
      <c r="G180" s="6" t="s">
        <v>30</v>
      </c>
      <c r="H180" s="6" t="s">
        <v>17</v>
      </c>
      <c r="I180" s="8" t="s">
        <v>59</v>
      </c>
      <c r="J180" s="6" t="s">
        <v>31</v>
      </c>
    </row>
    <row r="181" customFormat="false" ht="30" hidden="false" customHeight="true" outlineLevel="0" collapsed="false">
      <c r="B181" s="4" t="s">
        <v>562</v>
      </c>
      <c r="C181" s="4" t="s">
        <v>514</v>
      </c>
      <c r="D181" s="4" t="s">
        <v>563</v>
      </c>
      <c r="E181" s="4" t="s">
        <v>564</v>
      </c>
      <c r="F181" s="4" t="s">
        <v>29</v>
      </c>
      <c r="G181" s="4" t="s">
        <v>15</v>
      </c>
      <c r="H181" s="4" t="s">
        <v>17</v>
      </c>
      <c r="I181" s="4" t="s">
        <v>17</v>
      </c>
      <c r="J181" s="4" t="s">
        <v>31</v>
      </c>
    </row>
    <row r="182" customFormat="false" ht="30" hidden="false" customHeight="true" outlineLevel="0" collapsed="false">
      <c r="B182" s="6" t="s">
        <v>565</v>
      </c>
      <c r="C182" s="6" t="s">
        <v>514</v>
      </c>
      <c r="D182" s="6" t="s">
        <v>566</v>
      </c>
      <c r="E182" s="6" t="s">
        <v>567</v>
      </c>
      <c r="F182" s="6" t="s">
        <v>29</v>
      </c>
      <c r="G182" s="6" t="s">
        <v>30</v>
      </c>
      <c r="H182" s="6" t="s">
        <v>17</v>
      </c>
      <c r="I182" s="7" t="s">
        <v>22</v>
      </c>
      <c r="J182" s="6" t="s">
        <v>31</v>
      </c>
    </row>
    <row r="183" customFormat="false" ht="30" hidden="false" customHeight="true" outlineLevel="0" collapsed="false">
      <c r="B183" s="4" t="s">
        <v>568</v>
      </c>
      <c r="C183" s="4" t="s">
        <v>514</v>
      </c>
      <c r="D183" s="4" t="s">
        <v>569</v>
      </c>
      <c r="E183" s="4" t="s">
        <v>570</v>
      </c>
      <c r="F183" s="4" t="s">
        <v>29</v>
      </c>
      <c r="G183" s="4" t="s">
        <v>15</v>
      </c>
      <c r="H183" s="4" t="s">
        <v>17</v>
      </c>
      <c r="I183" s="5" t="s">
        <v>22</v>
      </c>
      <c r="J183" s="4" t="s">
        <v>18</v>
      </c>
    </row>
    <row r="184" customFormat="false" ht="30" hidden="false" customHeight="true" outlineLevel="0" collapsed="false">
      <c r="B184" s="6" t="s">
        <v>571</v>
      </c>
      <c r="C184" s="6" t="s">
        <v>514</v>
      </c>
      <c r="D184" s="6" t="s">
        <v>572</v>
      </c>
      <c r="E184" s="6" t="s">
        <v>573</v>
      </c>
      <c r="F184" s="6" t="s">
        <v>29</v>
      </c>
      <c r="G184" s="6" t="s">
        <v>30</v>
      </c>
      <c r="H184" s="6" t="s">
        <v>17</v>
      </c>
      <c r="I184" s="7" t="s">
        <v>22</v>
      </c>
      <c r="J184" s="6" t="s">
        <v>31</v>
      </c>
    </row>
    <row r="185" customFormat="false" ht="30" hidden="false" customHeight="true" outlineLevel="0" collapsed="false">
      <c r="B185" s="4" t="s">
        <v>574</v>
      </c>
      <c r="C185" s="4" t="s">
        <v>575</v>
      </c>
      <c r="D185" s="4" t="s">
        <v>576</v>
      </c>
      <c r="E185" s="4" t="s">
        <v>577</v>
      </c>
      <c r="F185" s="4" t="s">
        <v>51</v>
      </c>
      <c r="G185" s="4" t="s">
        <v>30</v>
      </c>
      <c r="H185" s="4" t="s">
        <v>17</v>
      </c>
      <c r="I185" s="5" t="s">
        <v>22</v>
      </c>
      <c r="J185" s="4" t="s">
        <v>31</v>
      </c>
    </row>
    <row r="186" customFormat="false" ht="30" hidden="false" customHeight="true" outlineLevel="0" collapsed="false">
      <c r="B186" s="6" t="s">
        <v>578</v>
      </c>
      <c r="C186" s="6" t="s">
        <v>575</v>
      </c>
      <c r="D186" s="6" t="s">
        <v>579</v>
      </c>
      <c r="E186" s="6" t="s">
        <v>580</v>
      </c>
      <c r="F186" s="6" t="s">
        <v>29</v>
      </c>
      <c r="G186" s="6" t="s">
        <v>30</v>
      </c>
      <c r="H186" s="7" t="s">
        <v>16</v>
      </c>
      <c r="I186" s="6" t="s">
        <v>17</v>
      </c>
      <c r="J186" s="6" t="s">
        <v>31</v>
      </c>
    </row>
    <row r="187" customFormat="false" ht="30" hidden="false" customHeight="true" outlineLevel="0" collapsed="false">
      <c r="B187" s="4" t="s">
        <v>581</v>
      </c>
      <c r="C187" s="4" t="s">
        <v>575</v>
      </c>
      <c r="D187" s="4" t="s">
        <v>582</v>
      </c>
      <c r="E187" s="4" t="s">
        <v>583</v>
      </c>
      <c r="F187" s="4" t="s">
        <v>97</v>
      </c>
      <c r="G187" s="4" t="s">
        <v>30</v>
      </c>
      <c r="H187" s="5" t="s">
        <v>16</v>
      </c>
      <c r="I187" s="5" t="s">
        <v>22</v>
      </c>
      <c r="J187" s="4" t="s">
        <v>31</v>
      </c>
    </row>
    <row r="188" customFormat="false" ht="30" hidden="false" customHeight="true" outlineLevel="0" collapsed="false">
      <c r="B188" s="6" t="s">
        <v>584</v>
      </c>
      <c r="C188" s="6" t="s">
        <v>575</v>
      </c>
      <c r="D188" s="6" t="s">
        <v>585</v>
      </c>
      <c r="E188" s="6" t="s">
        <v>586</v>
      </c>
      <c r="F188" s="6" t="s">
        <v>29</v>
      </c>
      <c r="G188" s="6" t="s">
        <v>30</v>
      </c>
      <c r="H188" s="7" t="s">
        <v>16</v>
      </c>
      <c r="I188" s="6" t="s">
        <v>17</v>
      </c>
      <c r="J188" s="6" t="s">
        <v>31</v>
      </c>
    </row>
    <row r="189" customFormat="false" ht="30" hidden="false" customHeight="true" outlineLevel="0" collapsed="false">
      <c r="B189" s="4" t="s">
        <v>587</v>
      </c>
      <c r="C189" s="4" t="s">
        <v>575</v>
      </c>
      <c r="D189" s="4" t="s">
        <v>588</v>
      </c>
      <c r="E189" s="4" t="s">
        <v>589</v>
      </c>
      <c r="F189" s="4" t="s">
        <v>29</v>
      </c>
      <c r="G189" s="4" t="s">
        <v>30</v>
      </c>
      <c r="H189" s="4" t="s">
        <v>17</v>
      </c>
      <c r="I189" s="5" t="s">
        <v>22</v>
      </c>
      <c r="J189" s="4" t="s">
        <v>31</v>
      </c>
    </row>
    <row r="190" customFormat="false" ht="30" hidden="false" customHeight="true" outlineLevel="0" collapsed="false">
      <c r="B190" s="6" t="s">
        <v>590</v>
      </c>
      <c r="C190" s="6" t="s">
        <v>575</v>
      </c>
      <c r="D190" s="6" t="s">
        <v>591</v>
      </c>
      <c r="E190" s="6" t="s">
        <v>592</v>
      </c>
      <c r="F190" s="6" t="s">
        <v>97</v>
      </c>
      <c r="G190" s="6" t="s">
        <v>30</v>
      </c>
      <c r="H190" s="6" t="s">
        <v>17</v>
      </c>
      <c r="I190" s="6" t="s">
        <v>17</v>
      </c>
      <c r="J190" s="6" t="s">
        <v>31</v>
      </c>
    </row>
    <row r="191" customFormat="false" ht="30" hidden="false" customHeight="true" outlineLevel="0" collapsed="false">
      <c r="B191" s="4" t="s">
        <v>593</v>
      </c>
      <c r="C191" s="4" t="s">
        <v>575</v>
      </c>
      <c r="D191" s="4" t="s">
        <v>594</v>
      </c>
      <c r="E191" s="4" t="s">
        <v>595</v>
      </c>
      <c r="F191" s="4" t="s">
        <v>29</v>
      </c>
      <c r="G191" s="4" t="s">
        <v>30</v>
      </c>
      <c r="H191" s="4" t="s">
        <v>17</v>
      </c>
      <c r="I191" s="4" t="s">
        <v>17</v>
      </c>
      <c r="J191" s="4" t="s">
        <v>31</v>
      </c>
    </row>
    <row r="192" customFormat="false" ht="30" hidden="false" customHeight="true" outlineLevel="0" collapsed="false">
      <c r="B192" s="6" t="s">
        <v>596</v>
      </c>
      <c r="C192" s="6" t="s">
        <v>575</v>
      </c>
      <c r="D192" s="6" t="s">
        <v>597</v>
      </c>
      <c r="E192" s="6" t="s">
        <v>598</v>
      </c>
      <c r="F192" s="6" t="s">
        <v>97</v>
      </c>
      <c r="G192" s="6" t="s">
        <v>30</v>
      </c>
      <c r="H192" s="6" t="s">
        <v>17</v>
      </c>
      <c r="I192" s="6" t="s">
        <v>17</v>
      </c>
      <c r="J192" s="6" t="s">
        <v>31</v>
      </c>
    </row>
    <row r="193" customFormat="false" ht="30" hidden="false" customHeight="true" outlineLevel="0" collapsed="false">
      <c r="B193" s="4" t="s">
        <v>599</v>
      </c>
      <c r="C193" s="4" t="s">
        <v>575</v>
      </c>
      <c r="D193" s="4" t="s">
        <v>600</v>
      </c>
      <c r="E193" s="4" t="s">
        <v>601</v>
      </c>
      <c r="F193" s="4" t="s">
        <v>29</v>
      </c>
      <c r="G193" s="4" t="s">
        <v>30</v>
      </c>
      <c r="H193" s="5" t="s">
        <v>16</v>
      </c>
      <c r="I193" s="4" t="s">
        <v>17</v>
      </c>
      <c r="J193" s="4" t="s">
        <v>18</v>
      </c>
    </row>
    <row r="194" customFormat="false" ht="30" hidden="false" customHeight="true" outlineLevel="0" collapsed="false">
      <c r="B194" s="6" t="s">
        <v>602</v>
      </c>
      <c r="C194" s="6" t="s">
        <v>575</v>
      </c>
      <c r="D194" s="6" t="s">
        <v>603</v>
      </c>
      <c r="E194" s="6" t="s">
        <v>604</v>
      </c>
      <c r="F194" s="6" t="s">
        <v>29</v>
      </c>
      <c r="G194" s="6" t="s">
        <v>30</v>
      </c>
      <c r="H194" s="6" t="s">
        <v>17</v>
      </c>
      <c r="I194" s="6" t="s">
        <v>17</v>
      </c>
      <c r="J194" s="6" t="s">
        <v>31</v>
      </c>
    </row>
    <row r="195" customFormat="false" ht="30" hidden="false" customHeight="true" outlineLevel="0" collapsed="false">
      <c r="B195" s="4" t="s">
        <v>605</v>
      </c>
      <c r="C195" s="4" t="s">
        <v>575</v>
      </c>
      <c r="D195" s="4" t="s">
        <v>606</v>
      </c>
      <c r="E195" s="4" t="s">
        <v>607</v>
      </c>
      <c r="F195" s="4" t="s">
        <v>29</v>
      </c>
      <c r="G195" s="4" t="s">
        <v>30</v>
      </c>
      <c r="H195" s="5" t="s">
        <v>16</v>
      </c>
      <c r="I195" s="9" t="s">
        <v>59</v>
      </c>
      <c r="J195" s="4" t="s">
        <v>31</v>
      </c>
    </row>
    <row r="196" customFormat="false" ht="30" hidden="false" customHeight="true" outlineLevel="0" collapsed="false">
      <c r="B196" s="6" t="s">
        <v>608</v>
      </c>
      <c r="C196" s="6" t="s">
        <v>575</v>
      </c>
      <c r="D196" s="6" t="s">
        <v>609</v>
      </c>
      <c r="E196" s="6" t="s">
        <v>610</v>
      </c>
      <c r="F196" s="6" t="s">
        <v>14</v>
      </c>
      <c r="G196" s="6" t="s">
        <v>15</v>
      </c>
      <c r="H196" s="7" t="s">
        <v>16</v>
      </c>
      <c r="I196" s="7" t="s">
        <v>22</v>
      </c>
      <c r="J196" s="6" t="s">
        <v>18</v>
      </c>
    </row>
    <row r="197" customFormat="false" ht="30" hidden="false" customHeight="true" outlineLevel="0" collapsed="false">
      <c r="B197" s="4" t="s">
        <v>611</v>
      </c>
      <c r="C197" s="4" t="s">
        <v>575</v>
      </c>
      <c r="D197" s="4" t="s">
        <v>612</v>
      </c>
      <c r="E197" s="4" t="s">
        <v>613</v>
      </c>
      <c r="F197" s="4" t="s">
        <v>29</v>
      </c>
      <c r="G197" s="4" t="s">
        <v>30</v>
      </c>
      <c r="H197" s="4" t="s">
        <v>17</v>
      </c>
      <c r="I197" s="5" t="s">
        <v>22</v>
      </c>
      <c r="J197" s="4" t="s">
        <v>31</v>
      </c>
    </row>
    <row r="198" customFormat="false" ht="30" hidden="false" customHeight="true" outlineLevel="0" collapsed="false">
      <c r="B198" s="6" t="s">
        <v>614</v>
      </c>
      <c r="C198" s="6" t="s">
        <v>575</v>
      </c>
      <c r="D198" s="6" t="s">
        <v>615</v>
      </c>
      <c r="E198" s="6" t="s">
        <v>616</v>
      </c>
      <c r="F198" s="6" t="s">
        <v>97</v>
      </c>
      <c r="G198" s="6" t="s">
        <v>15</v>
      </c>
      <c r="H198" s="7" t="s">
        <v>16</v>
      </c>
      <c r="I198" s="6" t="s">
        <v>17</v>
      </c>
      <c r="J198" s="6" t="s">
        <v>18</v>
      </c>
    </row>
    <row r="199" customFormat="false" ht="30" hidden="false" customHeight="true" outlineLevel="0" collapsed="false">
      <c r="B199" s="4" t="s">
        <v>617</v>
      </c>
      <c r="C199" s="4" t="s">
        <v>575</v>
      </c>
      <c r="D199" s="4" t="s">
        <v>618</v>
      </c>
      <c r="E199" s="4" t="s">
        <v>619</v>
      </c>
      <c r="F199" s="4" t="s">
        <v>97</v>
      </c>
      <c r="G199" s="4" t="s">
        <v>30</v>
      </c>
      <c r="H199" s="4" t="s">
        <v>17</v>
      </c>
      <c r="I199" s="5" t="s">
        <v>22</v>
      </c>
      <c r="J199" s="4" t="s">
        <v>31</v>
      </c>
    </row>
    <row r="200" customFormat="false" ht="30" hidden="false" customHeight="true" outlineLevel="0" collapsed="false">
      <c r="B200" s="6" t="s">
        <v>620</v>
      </c>
      <c r="C200" s="6" t="s">
        <v>575</v>
      </c>
      <c r="D200" s="6" t="s">
        <v>621</v>
      </c>
      <c r="E200" s="6" t="s">
        <v>622</v>
      </c>
      <c r="F200" s="6" t="s">
        <v>97</v>
      </c>
      <c r="G200" s="6" t="s">
        <v>15</v>
      </c>
      <c r="H200" s="6" t="s">
        <v>17</v>
      </c>
      <c r="I200" s="7" t="s">
        <v>22</v>
      </c>
      <c r="J200" s="6" t="s">
        <v>31</v>
      </c>
    </row>
    <row r="201" customFormat="false" ht="30" hidden="false" customHeight="true" outlineLevel="0" collapsed="false">
      <c r="B201" s="4" t="s">
        <v>623</v>
      </c>
      <c r="C201" s="4" t="s">
        <v>575</v>
      </c>
      <c r="D201" s="4" t="s">
        <v>624</v>
      </c>
      <c r="E201" s="4" t="s">
        <v>625</v>
      </c>
      <c r="F201" s="4" t="s">
        <v>29</v>
      </c>
      <c r="G201" s="4" t="s">
        <v>15</v>
      </c>
      <c r="H201" s="4" t="s">
        <v>17</v>
      </c>
      <c r="I201" s="5" t="s">
        <v>22</v>
      </c>
      <c r="J201" s="4" t="s">
        <v>31</v>
      </c>
    </row>
    <row r="202" customFormat="false" ht="30" hidden="false" customHeight="true" outlineLevel="0" collapsed="false">
      <c r="B202" s="6" t="s">
        <v>626</v>
      </c>
      <c r="C202" s="6" t="s">
        <v>575</v>
      </c>
      <c r="D202" s="6" t="s">
        <v>627</v>
      </c>
      <c r="E202" s="6" t="s">
        <v>628</v>
      </c>
      <c r="F202" s="6" t="s">
        <v>29</v>
      </c>
      <c r="G202" s="6" t="s">
        <v>30</v>
      </c>
      <c r="H202" s="6" t="s">
        <v>17</v>
      </c>
      <c r="I202" s="7" t="s">
        <v>22</v>
      </c>
      <c r="J202" s="6" t="s">
        <v>31</v>
      </c>
    </row>
    <row r="203" customFormat="false" ht="30" hidden="false" customHeight="true" outlineLevel="0" collapsed="false">
      <c r="B203" s="4" t="s">
        <v>629</v>
      </c>
      <c r="C203" s="4" t="s">
        <v>575</v>
      </c>
      <c r="D203" s="4" t="s">
        <v>630</v>
      </c>
      <c r="E203" s="4" t="s">
        <v>631</v>
      </c>
      <c r="F203" s="4" t="s">
        <v>29</v>
      </c>
      <c r="G203" s="4" t="s">
        <v>30</v>
      </c>
      <c r="H203" s="4" t="s">
        <v>17</v>
      </c>
      <c r="I203" s="5" t="s">
        <v>22</v>
      </c>
      <c r="J203" s="4" t="s">
        <v>31</v>
      </c>
    </row>
    <row r="204" customFormat="false" ht="30" hidden="false" customHeight="true" outlineLevel="0" collapsed="false">
      <c r="B204" s="6" t="s">
        <v>632</v>
      </c>
      <c r="C204" s="6" t="s">
        <v>575</v>
      </c>
      <c r="D204" s="6" t="s">
        <v>633</v>
      </c>
      <c r="E204" s="6" t="s">
        <v>634</v>
      </c>
      <c r="F204" s="6" t="s">
        <v>97</v>
      </c>
      <c r="G204" s="6" t="s">
        <v>30</v>
      </c>
      <c r="H204" s="6" t="s">
        <v>17</v>
      </c>
      <c r="I204" s="7" t="s">
        <v>22</v>
      </c>
      <c r="J204" s="6" t="s">
        <v>31</v>
      </c>
    </row>
    <row r="205" customFormat="false" ht="30" hidden="false" customHeight="true" outlineLevel="0" collapsed="false">
      <c r="B205" s="4" t="s">
        <v>635</v>
      </c>
      <c r="C205" s="4" t="s">
        <v>636</v>
      </c>
      <c r="D205" s="4" t="s">
        <v>637</v>
      </c>
      <c r="E205" s="4" t="s">
        <v>638</v>
      </c>
      <c r="F205" s="4" t="s">
        <v>29</v>
      </c>
      <c r="G205" s="4" t="s">
        <v>30</v>
      </c>
      <c r="H205" s="5" t="s">
        <v>16</v>
      </c>
      <c r="I205" s="4" t="s">
        <v>17</v>
      </c>
      <c r="J205" s="4" t="s">
        <v>18</v>
      </c>
    </row>
    <row r="206" customFormat="false" ht="30" hidden="false" customHeight="true" outlineLevel="0" collapsed="false">
      <c r="B206" s="6" t="s">
        <v>639</v>
      </c>
      <c r="C206" s="6" t="s">
        <v>636</v>
      </c>
      <c r="D206" s="6" t="s">
        <v>640</v>
      </c>
      <c r="E206" s="6" t="s">
        <v>641</v>
      </c>
      <c r="F206" s="6" t="s">
        <v>97</v>
      </c>
      <c r="G206" s="6" t="s">
        <v>30</v>
      </c>
      <c r="H206" s="7" t="s">
        <v>16</v>
      </c>
      <c r="I206" s="6" t="s">
        <v>17</v>
      </c>
      <c r="J206" s="6" t="s">
        <v>18</v>
      </c>
    </row>
    <row r="207" customFormat="false" ht="30" hidden="false" customHeight="true" outlineLevel="0" collapsed="false">
      <c r="B207" s="4" t="s">
        <v>642</v>
      </c>
      <c r="C207" s="4" t="s">
        <v>636</v>
      </c>
      <c r="D207" s="4" t="s">
        <v>643</v>
      </c>
      <c r="E207" s="4" t="s">
        <v>644</v>
      </c>
      <c r="F207" s="4" t="s">
        <v>35</v>
      </c>
      <c r="G207" s="4" t="s">
        <v>30</v>
      </c>
      <c r="H207" s="5" t="s">
        <v>16</v>
      </c>
      <c r="I207" s="4" t="s">
        <v>17</v>
      </c>
      <c r="J207" s="4" t="s">
        <v>18</v>
      </c>
    </row>
    <row r="208" customFormat="false" ht="30" hidden="false" customHeight="true" outlineLevel="0" collapsed="false">
      <c r="B208" s="6" t="s">
        <v>645</v>
      </c>
      <c r="C208" s="6" t="s">
        <v>636</v>
      </c>
      <c r="D208" s="6" t="s">
        <v>646</v>
      </c>
      <c r="E208" s="6" t="s">
        <v>647</v>
      </c>
      <c r="F208" s="6" t="s">
        <v>58</v>
      </c>
      <c r="G208" s="6" t="s">
        <v>15</v>
      </c>
      <c r="H208" s="7" t="s">
        <v>16</v>
      </c>
      <c r="I208" s="7" t="s">
        <v>22</v>
      </c>
      <c r="J208" s="6" t="s">
        <v>18</v>
      </c>
    </row>
    <row r="209" customFormat="false" ht="30" hidden="false" customHeight="true" outlineLevel="0" collapsed="false">
      <c r="B209" s="4" t="s">
        <v>648</v>
      </c>
      <c r="C209" s="4" t="s">
        <v>636</v>
      </c>
      <c r="D209" s="4" t="s">
        <v>649</v>
      </c>
      <c r="E209" s="4" t="s">
        <v>650</v>
      </c>
      <c r="F209" s="4" t="s">
        <v>14</v>
      </c>
      <c r="G209" s="4" t="s">
        <v>15</v>
      </c>
      <c r="H209" s="4" t="s">
        <v>17</v>
      </c>
      <c r="I209" s="5" t="s">
        <v>22</v>
      </c>
      <c r="J209" s="4" t="s">
        <v>18</v>
      </c>
    </row>
    <row r="210" customFormat="false" ht="30" hidden="false" customHeight="true" outlineLevel="0" collapsed="false">
      <c r="B210" s="6" t="s">
        <v>651</v>
      </c>
      <c r="C210" s="6" t="s">
        <v>636</v>
      </c>
      <c r="D210" s="6" t="s">
        <v>652</v>
      </c>
      <c r="E210" s="6" t="s">
        <v>653</v>
      </c>
      <c r="F210" s="6" t="s">
        <v>58</v>
      </c>
      <c r="G210" s="6" t="s">
        <v>30</v>
      </c>
      <c r="H210" s="6" t="s">
        <v>17</v>
      </c>
      <c r="I210" s="7" t="s">
        <v>22</v>
      </c>
      <c r="J210" s="6" t="s">
        <v>18</v>
      </c>
    </row>
    <row r="211" customFormat="false" ht="30" hidden="false" customHeight="true" outlineLevel="0" collapsed="false">
      <c r="B211" s="4" t="s">
        <v>654</v>
      </c>
      <c r="C211" s="4" t="s">
        <v>636</v>
      </c>
      <c r="D211" s="4" t="s">
        <v>655</v>
      </c>
      <c r="E211" s="4" t="s">
        <v>656</v>
      </c>
      <c r="F211" s="4" t="s">
        <v>29</v>
      </c>
      <c r="G211" s="4" t="s">
        <v>30</v>
      </c>
      <c r="H211" s="5" t="s">
        <v>16</v>
      </c>
      <c r="I211" s="4" t="s">
        <v>17</v>
      </c>
      <c r="J211" s="4" t="s">
        <v>18</v>
      </c>
    </row>
    <row r="212" customFormat="false" ht="30" hidden="false" customHeight="true" outlineLevel="0" collapsed="false">
      <c r="B212" s="6" t="s">
        <v>657</v>
      </c>
      <c r="C212" s="6" t="s">
        <v>636</v>
      </c>
      <c r="D212" s="6" t="s">
        <v>658</v>
      </c>
      <c r="E212" s="6" t="s">
        <v>659</v>
      </c>
      <c r="F212" s="6" t="s">
        <v>14</v>
      </c>
      <c r="G212" s="6" t="s">
        <v>15</v>
      </c>
      <c r="H212" s="7" t="s">
        <v>16</v>
      </c>
      <c r="I212" s="7" t="s">
        <v>22</v>
      </c>
      <c r="J212" s="6" t="s">
        <v>18</v>
      </c>
    </row>
    <row r="213" customFormat="false" ht="30" hidden="false" customHeight="true" outlineLevel="0" collapsed="false">
      <c r="B213" s="4" t="s">
        <v>660</v>
      </c>
      <c r="C213" s="4" t="s">
        <v>636</v>
      </c>
      <c r="D213" s="4" t="s">
        <v>661</v>
      </c>
      <c r="E213" s="4" t="s">
        <v>662</v>
      </c>
      <c r="F213" s="4" t="s">
        <v>58</v>
      </c>
      <c r="G213" s="4" t="s">
        <v>15</v>
      </c>
      <c r="H213" s="5" t="s">
        <v>16</v>
      </c>
      <c r="I213" s="4" t="s">
        <v>17</v>
      </c>
      <c r="J213" s="4" t="s">
        <v>18</v>
      </c>
    </row>
    <row r="214" customFormat="false" ht="30" hidden="false" customHeight="true" outlineLevel="0" collapsed="false">
      <c r="B214" s="6" t="s">
        <v>663</v>
      </c>
      <c r="C214" s="6" t="s">
        <v>636</v>
      </c>
      <c r="D214" s="6" t="s">
        <v>664</v>
      </c>
      <c r="E214" s="6" t="s">
        <v>665</v>
      </c>
      <c r="F214" s="6" t="s">
        <v>51</v>
      </c>
      <c r="G214" s="6" t="s">
        <v>15</v>
      </c>
      <c r="H214" s="7" t="s">
        <v>16</v>
      </c>
      <c r="I214" s="7" t="s">
        <v>22</v>
      </c>
      <c r="J214" s="6" t="s">
        <v>666</v>
      </c>
    </row>
    <row r="215" customFormat="false" ht="30" hidden="false" customHeight="true" outlineLevel="0" collapsed="false">
      <c r="B215" s="4" t="s">
        <v>667</v>
      </c>
      <c r="C215" s="4" t="s">
        <v>636</v>
      </c>
      <c r="D215" s="4" t="s">
        <v>668</v>
      </c>
      <c r="E215" s="4" t="s">
        <v>669</v>
      </c>
      <c r="F215" s="4" t="s">
        <v>51</v>
      </c>
      <c r="G215" s="4" t="s">
        <v>15</v>
      </c>
      <c r="H215" s="4" t="s">
        <v>17</v>
      </c>
      <c r="I215" s="5" t="s">
        <v>22</v>
      </c>
      <c r="J215" s="4" t="s">
        <v>18</v>
      </c>
    </row>
    <row r="216" customFormat="false" ht="30" hidden="false" customHeight="true" outlineLevel="0" collapsed="false">
      <c r="B216" s="6" t="s">
        <v>670</v>
      </c>
      <c r="C216" s="6" t="s">
        <v>636</v>
      </c>
      <c r="D216" s="6" t="s">
        <v>671</v>
      </c>
      <c r="E216" s="6" t="s">
        <v>672</v>
      </c>
      <c r="F216" s="6" t="s">
        <v>97</v>
      </c>
      <c r="G216" s="6" t="s">
        <v>30</v>
      </c>
      <c r="H216" s="7" t="s">
        <v>16</v>
      </c>
      <c r="I216" s="6" t="s">
        <v>17</v>
      </c>
      <c r="J216" s="6" t="s">
        <v>18</v>
      </c>
    </row>
    <row r="217" customFormat="false" ht="30" hidden="false" customHeight="true" outlineLevel="0" collapsed="false">
      <c r="B217" s="4" t="s">
        <v>673</v>
      </c>
      <c r="C217" s="4" t="s">
        <v>636</v>
      </c>
      <c r="D217" s="4" t="s">
        <v>674</v>
      </c>
      <c r="E217" s="4" t="s">
        <v>675</v>
      </c>
      <c r="F217" s="4" t="s">
        <v>97</v>
      </c>
      <c r="G217" s="4" t="s">
        <v>30</v>
      </c>
      <c r="H217" s="4" t="s">
        <v>17</v>
      </c>
      <c r="I217" s="4" t="s">
        <v>17</v>
      </c>
      <c r="J217" s="4" t="s">
        <v>18</v>
      </c>
    </row>
    <row r="218" customFormat="false" ht="30" hidden="false" customHeight="true" outlineLevel="0" collapsed="false">
      <c r="B218" s="6" t="s">
        <v>676</v>
      </c>
      <c r="C218" s="6" t="s">
        <v>636</v>
      </c>
      <c r="D218" s="6" t="s">
        <v>677</v>
      </c>
      <c r="E218" s="6" t="s">
        <v>678</v>
      </c>
      <c r="F218" s="6" t="s">
        <v>58</v>
      </c>
      <c r="G218" s="6" t="s">
        <v>30</v>
      </c>
      <c r="H218" s="7" t="s">
        <v>16</v>
      </c>
      <c r="I218" s="7" t="s">
        <v>22</v>
      </c>
      <c r="J218" s="6" t="s">
        <v>18</v>
      </c>
    </row>
    <row r="219" customFormat="false" ht="30" hidden="false" customHeight="true" outlineLevel="0" collapsed="false">
      <c r="B219" s="4" t="s">
        <v>679</v>
      </c>
      <c r="C219" s="4" t="s">
        <v>636</v>
      </c>
      <c r="D219" s="4" t="s">
        <v>680</v>
      </c>
      <c r="E219" s="4" t="s">
        <v>681</v>
      </c>
      <c r="F219" s="4" t="s">
        <v>58</v>
      </c>
      <c r="G219" s="4" t="s">
        <v>15</v>
      </c>
      <c r="H219" s="5" t="s">
        <v>16</v>
      </c>
      <c r="I219" s="5" t="s">
        <v>22</v>
      </c>
      <c r="J219" s="4" t="s">
        <v>18</v>
      </c>
    </row>
    <row r="220" customFormat="false" ht="30" hidden="false" customHeight="true" outlineLevel="0" collapsed="false">
      <c r="B220" s="6" t="s">
        <v>682</v>
      </c>
      <c r="C220" s="6" t="s">
        <v>636</v>
      </c>
      <c r="D220" s="6" t="s">
        <v>683</v>
      </c>
      <c r="E220" s="6" t="s">
        <v>684</v>
      </c>
      <c r="F220" s="6" t="s">
        <v>51</v>
      </c>
      <c r="G220" s="6" t="s">
        <v>15</v>
      </c>
      <c r="H220" s="6" t="s">
        <v>17</v>
      </c>
      <c r="I220" s="7" t="s">
        <v>22</v>
      </c>
      <c r="J220" s="6" t="s">
        <v>211</v>
      </c>
    </row>
    <row r="221" customFormat="false" ht="30" hidden="false" customHeight="true" outlineLevel="0" collapsed="false">
      <c r="B221" s="4" t="s">
        <v>685</v>
      </c>
      <c r="C221" s="4" t="s">
        <v>636</v>
      </c>
      <c r="D221" s="4" t="s">
        <v>686</v>
      </c>
      <c r="E221" s="4" t="s">
        <v>687</v>
      </c>
      <c r="F221" s="4" t="s">
        <v>14</v>
      </c>
      <c r="G221" s="4" t="s">
        <v>15</v>
      </c>
      <c r="H221" s="4" t="s">
        <v>17</v>
      </c>
      <c r="I221" s="5" t="s">
        <v>22</v>
      </c>
      <c r="J221" s="4" t="s">
        <v>18</v>
      </c>
    </row>
    <row r="222" customFormat="false" ht="30" hidden="false" customHeight="true" outlineLevel="0" collapsed="false">
      <c r="B222" s="6" t="s">
        <v>688</v>
      </c>
      <c r="C222" s="6" t="s">
        <v>636</v>
      </c>
      <c r="D222" s="6" t="s">
        <v>689</v>
      </c>
      <c r="E222" s="6" t="s">
        <v>690</v>
      </c>
      <c r="F222" s="6" t="s">
        <v>14</v>
      </c>
      <c r="G222" s="6" t="s">
        <v>15</v>
      </c>
      <c r="H222" s="6" t="s">
        <v>17</v>
      </c>
      <c r="I222" s="7" t="s">
        <v>22</v>
      </c>
      <c r="J222" s="6" t="s">
        <v>18</v>
      </c>
    </row>
    <row r="223" customFormat="false" ht="30" hidden="false" customHeight="true" outlineLevel="0" collapsed="false">
      <c r="B223" s="4" t="s">
        <v>691</v>
      </c>
      <c r="C223" s="4" t="s">
        <v>636</v>
      </c>
      <c r="D223" s="4" t="s">
        <v>692</v>
      </c>
      <c r="E223" s="4" t="s">
        <v>693</v>
      </c>
      <c r="F223" s="4" t="s">
        <v>58</v>
      </c>
      <c r="G223" s="4" t="s">
        <v>15</v>
      </c>
      <c r="H223" s="5" t="s">
        <v>16</v>
      </c>
      <c r="I223" s="5" t="s">
        <v>22</v>
      </c>
      <c r="J223" s="4" t="s">
        <v>666</v>
      </c>
    </row>
    <row r="224" customFormat="false" ht="30" hidden="false" customHeight="true" outlineLevel="0" collapsed="false">
      <c r="B224" s="6" t="s">
        <v>694</v>
      </c>
      <c r="C224" s="6" t="s">
        <v>636</v>
      </c>
      <c r="D224" s="6" t="s">
        <v>695</v>
      </c>
      <c r="E224" s="6" t="s">
        <v>696</v>
      </c>
      <c r="F224" s="6" t="s">
        <v>51</v>
      </c>
      <c r="G224" s="6" t="s">
        <v>15</v>
      </c>
      <c r="H224" s="6" t="s">
        <v>17</v>
      </c>
      <c r="I224" s="7" t="s">
        <v>22</v>
      </c>
      <c r="J224" s="6" t="s">
        <v>666</v>
      </c>
    </row>
    <row r="225" customFormat="false" ht="30" hidden="false" customHeight="true" outlineLevel="0" collapsed="false">
      <c r="B225" s="4" t="s">
        <v>697</v>
      </c>
      <c r="C225" s="4" t="s">
        <v>698</v>
      </c>
      <c r="D225" s="4" t="s">
        <v>699</v>
      </c>
      <c r="E225" s="4" t="s">
        <v>700</v>
      </c>
      <c r="F225" s="4" t="s">
        <v>29</v>
      </c>
      <c r="G225" s="4" t="s">
        <v>30</v>
      </c>
      <c r="H225" s="4" t="s">
        <v>17</v>
      </c>
      <c r="I225" s="4" t="s">
        <v>17</v>
      </c>
      <c r="J225" s="4" t="s">
        <v>31</v>
      </c>
    </row>
    <row r="226" customFormat="false" ht="30" hidden="false" customHeight="true" outlineLevel="0" collapsed="false">
      <c r="B226" s="6" t="s">
        <v>701</v>
      </c>
      <c r="C226" s="6" t="s">
        <v>698</v>
      </c>
      <c r="D226" s="6" t="s">
        <v>702</v>
      </c>
      <c r="E226" s="6" t="s">
        <v>703</v>
      </c>
      <c r="F226" s="6" t="s">
        <v>58</v>
      </c>
      <c r="G226" s="6" t="s">
        <v>15</v>
      </c>
      <c r="H226" s="6" t="s">
        <v>17</v>
      </c>
      <c r="I226" s="7" t="s">
        <v>22</v>
      </c>
      <c r="J226" s="6" t="s">
        <v>18</v>
      </c>
    </row>
    <row r="227" customFormat="false" ht="30" hidden="false" customHeight="true" outlineLevel="0" collapsed="false">
      <c r="B227" s="4" t="s">
        <v>704</v>
      </c>
      <c r="C227" s="4" t="s">
        <v>698</v>
      </c>
      <c r="D227" s="4" t="s">
        <v>705</v>
      </c>
      <c r="E227" s="4" t="s">
        <v>706</v>
      </c>
      <c r="F227" s="4" t="s">
        <v>58</v>
      </c>
      <c r="G227" s="4" t="s">
        <v>30</v>
      </c>
      <c r="H227" s="4" t="s">
        <v>17</v>
      </c>
      <c r="I227" s="5" t="s">
        <v>22</v>
      </c>
      <c r="J227" s="4" t="s">
        <v>31</v>
      </c>
    </row>
    <row r="228" customFormat="false" ht="30" hidden="false" customHeight="true" outlineLevel="0" collapsed="false">
      <c r="B228" s="6" t="s">
        <v>707</v>
      </c>
      <c r="C228" s="6" t="s">
        <v>698</v>
      </c>
      <c r="D228" s="6" t="s">
        <v>708</v>
      </c>
      <c r="E228" s="6" t="s">
        <v>709</v>
      </c>
      <c r="F228" s="6" t="s">
        <v>29</v>
      </c>
      <c r="G228" s="6" t="s">
        <v>30</v>
      </c>
      <c r="H228" s="6" t="s">
        <v>17</v>
      </c>
      <c r="I228" s="7" t="s">
        <v>22</v>
      </c>
      <c r="J228" s="6" t="s">
        <v>31</v>
      </c>
    </row>
    <row r="229" customFormat="false" ht="30" hidden="false" customHeight="true" outlineLevel="0" collapsed="false">
      <c r="B229" s="4" t="s">
        <v>710</v>
      </c>
      <c r="C229" s="4" t="s">
        <v>698</v>
      </c>
      <c r="D229" s="4" t="s">
        <v>711</v>
      </c>
      <c r="E229" s="4" t="s">
        <v>712</v>
      </c>
      <c r="F229" s="4" t="s">
        <v>29</v>
      </c>
      <c r="G229" s="4" t="s">
        <v>30</v>
      </c>
      <c r="H229" s="4" t="s">
        <v>17</v>
      </c>
      <c r="I229" s="5" t="s">
        <v>22</v>
      </c>
      <c r="J229" s="4" t="s">
        <v>18</v>
      </c>
    </row>
    <row r="230" customFormat="false" ht="30" hidden="false" customHeight="true" outlineLevel="0" collapsed="false">
      <c r="B230" s="6" t="s">
        <v>713</v>
      </c>
      <c r="C230" s="6" t="s">
        <v>698</v>
      </c>
      <c r="D230" s="6" t="s">
        <v>714</v>
      </c>
      <c r="E230" s="6" t="s">
        <v>715</v>
      </c>
      <c r="F230" s="6" t="s">
        <v>58</v>
      </c>
      <c r="G230" s="6" t="s">
        <v>30</v>
      </c>
      <c r="H230" s="6" t="s">
        <v>17</v>
      </c>
      <c r="I230" s="6" t="s">
        <v>17</v>
      </c>
      <c r="J230" s="6" t="s">
        <v>31</v>
      </c>
    </row>
    <row r="231" customFormat="false" ht="30" hidden="false" customHeight="true" outlineLevel="0" collapsed="false">
      <c r="B231" s="4" t="s">
        <v>716</v>
      </c>
      <c r="C231" s="4" t="s">
        <v>698</v>
      </c>
      <c r="D231" s="4" t="s">
        <v>717</v>
      </c>
      <c r="E231" s="4" t="s">
        <v>718</v>
      </c>
      <c r="F231" s="4" t="s">
        <v>35</v>
      </c>
      <c r="G231" s="4" t="s">
        <v>30</v>
      </c>
      <c r="H231" s="5" t="s">
        <v>16</v>
      </c>
      <c r="I231" s="4" t="s">
        <v>17</v>
      </c>
      <c r="J231" s="4" t="s">
        <v>18</v>
      </c>
    </row>
    <row r="232" customFormat="false" ht="30" hidden="false" customHeight="true" outlineLevel="0" collapsed="false">
      <c r="B232" s="6" t="s">
        <v>719</v>
      </c>
      <c r="C232" s="6" t="s">
        <v>698</v>
      </c>
      <c r="D232" s="6" t="s">
        <v>720</v>
      </c>
      <c r="E232" s="6" t="s">
        <v>721</v>
      </c>
      <c r="F232" s="6" t="s">
        <v>97</v>
      </c>
      <c r="G232" s="6" t="s">
        <v>30</v>
      </c>
      <c r="H232" s="6" t="s">
        <v>17</v>
      </c>
      <c r="I232" s="6" t="s">
        <v>17</v>
      </c>
      <c r="J232" s="6" t="s">
        <v>31</v>
      </c>
    </row>
    <row r="233" customFormat="false" ht="30" hidden="false" customHeight="true" outlineLevel="0" collapsed="false">
      <c r="B233" s="4" t="s">
        <v>722</v>
      </c>
      <c r="C233" s="4" t="s">
        <v>698</v>
      </c>
      <c r="D233" s="4" t="s">
        <v>723</v>
      </c>
      <c r="E233" s="4" t="s">
        <v>724</v>
      </c>
      <c r="F233" s="4" t="s">
        <v>14</v>
      </c>
      <c r="G233" s="4" t="s">
        <v>30</v>
      </c>
      <c r="H233" s="5" t="s">
        <v>16</v>
      </c>
      <c r="I233" s="5" t="s">
        <v>22</v>
      </c>
      <c r="J233" s="4" t="s">
        <v>31</v>
      </c>
    </row>
    <row r="234" customFormat="false" ht="30" hidden="false" customHeight="true" outlineLevel="0" collapsed="false">
      <c r="B234" s="6" t="s">
        <v>725</v>
      </c>
      <c r="C234" s="6" t="s">
        <v>698</v>
      </c>
      <c r="D234" s="6" t="s">
        <v>726</v>
      </c>
      <c r="E234" s="6" t="s">
        <v>727</v>
      </c>
      <c r="F234" s="6" t="s">
        <v>97</v>
      </c>
      <c r="G234" s="6" t="s">
        <v>30</v>
      </c>
      <c r="H234" s="7" t="s">
        <v>16</v>
      </c>
      <c r="I234" s="6" t="s">
        <v>17</v>
      </c>
      <c r="J234" s="6" t="s">
        <v>18</v>
      </c>
    </row>
    <row r="235" customFormat="false" ht="30" hidden="false" customHeight="true" outlineLevel="0" collapsed="false">
      <c r="B235" s="4" t="s">
        <v>728</v>
      </c>
      <c r="C235" s="4" t="s">
        <v>698</v>
      </c>
      <c r="D235" s="4" t="s">
        <v>729</v>
      </c>
      <c r="E235" s="4" t="s">
        <v>730</v>
      </c>
      <c r="F235" s="4" t="s">
        <v>29</v>
      </c>
      <c r="G235" s="4" t="s">
        <v>30</v>
      </c>
      <c r="H235" s="5" t="s">
        <v>16</v>
      </c>
      <c r="I235" s="5" t="s">
        <v>22</v>
      </c>
      <c r="J235" s="4" t="s">
        <v>18</v>
      </c>
    </row>
    <row r="236" customFormat="false" ht="30" hidden="false" customHeight="true" outlineLevel="0" collapsed="false">
      <c r="B236" s="6" t="s">
        <v>731</v>
      </c>
      <c r="C236" s="6" t="s">
        <v>698</v>
      </c>
      <c r="D236" s="6" t="s">
        <v>732</v>
      </c>
      <c r="E236" s="6" t="s">
        <v>733</v>
      </c>
      <c r="F236" s="6" t="s">
        <v>97</v>
      </c>
      <c r="G236" s="6" t="s">
        <v>30</v>
      </c>
      <c r="H236" s="6" t="s">
        <v>17</v>
      </c>
      <c r="I236" s="6" t="s">
        <v>17</v>
      </c>
      <c r="J236" s="6" t="s">
        <v>31</v>
      </c>
    </row>
    <row r="237" customFormat="false" ht="30" hidden="false" customHeight="true" outlineLevel="0" collapsed="false">
      <c r="B237" s="4" t="s">
        <v>734</v>
      </c>
      <c r="C237" s="4" t="s">
        <v>698</v>
      </c>
      <c r="D237" s="4" t="s">
        <v>735</v>
      </c>
      <c r="E237" s="4" t="s">
        <v>736</v>
      </c>
      <c r="F237" s="4" t="s">
        <v>58</v>
      </c>
      <c r="G237" s="4" t="s">
        <v>30</v>
      </c>
      <c r="H237" s="4" t="s">
        <v>17</v>
      </c>
      <c r="I237" s="5" t="s">
        <v>22</v>
      </c>
      <c r="J237" s="4" t="s">
        <v>18</v>
      </c>
    </row>
    <row r="238" customFormat="false" ht="30" hidden="false" customHeight="true" outlineLevel="0" collapsed="false">
      <c r="B238" s="6" t="s">
        <v>737</v>
      </c>
      <c r="C238" s="6" t="s">
        <v>698</v>
      </c>
      <c r="D238" s="6" t="s">
        <v>738</v>
      </c>
      <c r="E238" s="6" t="s">
        <v>739</v>
      </c>
      <c r="F238" s="6" t="s">
        <v>58</v>
      </c>
      <c r="G238" s="6" t="s">
        <v>15</v>
      </c>
      <c r="H238" s="7" t="s">
        <v>16</v>
      </c>
      <c r="I238" s="7" t="s">
        <v>22</v>
      </c>
      <c r="J238" s="6" t="s">
        <v>18</v>
      </c>
    </row>
    <row r="239" customFormat="false" ht="30" hidden="false" customHeight="true" outlineLevel="0" collapsed="false">
      <c r="B239" s="4" t="s">
        <v>740</v>
      </c>
      <c r="C239" s="4" t="s">
        <v>698</v>
      </c>
      <c r="D239" s="4" t="s">
        <v>741</v>
      </c>
      <c r="E239" s="4" t="s">
        <v>742</v>
      </c>
      <c r="F239" s="4" t="s">
        <v>58</v>
      </c>
      <c r="G239" s="4" t="s">
        <v>15</v>
      </c>
      <c r="H239" s="5" t="s">
        <v>16</v>
      </c>
      <c r="I239" s="4" t="s">
        <v>17</v>
      </c>
      <c r="J239" s="4" t="s">
        <v>666</v>
      </c>
    </row>
    <row r="240" customFormat="false" ht="30" hidden="false" customHeight="true" outlineLevel="0" collapsed="false">
      <c r="B240" s="6" t="s">
        <v>743</v>
      </c>
      <c r="C240" s="6" t="s">
        <v>698</v>
      </c>
      <c r="D240" s="6" t="s">
        <v>744</v>
      </c>
      <c r="E240" s="6" t="s">
        <v>745</v>
      </c>
      <c r="F240" s="6" t="s">
        <v>58</v>
      </c>
      <c r="G240" s="6" t="s">
        <v>15</v>
      </c>
      <c r="H240" s="6" t="s">
        <v>17</v>
      </c>
      <c r="I240" s="7" t="s">
        <v>22</v>
      </c>
      <c r="J240" s="6" t="s">
        <v>18</v>
      </c>
    </row>
    <row r="241" customFormat="false" ht="30" hidden="false" customHeight="true" outlineLevel="0" collapsed="false">
      <c r="B241" s="4" t="s">
        <v>746</v>
      </c>
      <c r="C241" s="4" t="s">
        <v>698</v>
      </c>
      <c r="D241" s="4" t="s">
        <v>747</v>
      </c>
      <c r="E241" s="4" t="s">
        <v>748</v>
      </c>
      <c r="F241" s="4" t="s">
        <v>58</v>
      </c>
      <c r="G241" s="4" t="s">
        <v>15</v>
      </c>
      <c r="H241" s="4" t="s">
        <v>17</v>
      </c>
      <c r="I241" s="5" t="s">
        <v>22</v>
      </c>
      <c r="J241" s="4" t="s">
        <v>18</v>
      </c>
    </row>
    <row r="242" customFormat="false" ht="30" hidden="false" customHeight="true" outlineLevel="0" collapsed="false">
      <c r="B242" s="6" t="s">
        <v>749</v>
      </c>
      <c r="C242" s="6" t="s">
        <v>698</v>
      </c>
      <c r="D242" s="6" t="s">
        <v>750</v>
      </c>
      <c r="E242" s="6" t="s">
        <v>751</v>
      </c>
      <c r="F242" s="6" t="s">
        <v>58</v>
      </c>
      <c r="G242" s="6" t="s">
        <v>15</v>
      </c>
      <c r="H242" s="7" t="s">
        <v>16</v>
      </c>
      <c r="I242" s="6" t="s">
        <v>17</v>
      </c>
      <c r="J242" s="6" t="s">
        <v>18</v>
      </c>
    </row>
    <row r="243" customFormat="false" ht="30" hidden="false" customHeight="true" outlineLevel="0" collapsed="false">
      <c r="B243" s="4" t="s">
        <v>752</v>
      </c>
      <c r="C243" s="4" t="s">
        <v>698</v>
      </c>
      <c r="D243" s="4" t="s">
        <v>753</v>
      </c>
      <c r="E243" s="4" t="s">
        <v>754</v>
      </c>
      <c r="F243" s="4" t="s">
        <v>29</v>
      </c>
      <c r="G243" s="4" t="s">
        <v>30</v>
      </c>
      <c r="H243" s="5" t="s">
        <v>16</v>
      </c>
      <c r="I243" s="4" t="s">
        <v>17</v>
      </c>
      <c r="J243" s="4" t="s">
        <v>31</v>
      </c>
    </row>
    <row r="244" customFormat="false" ht="30" hidden="false" customHeight="true" outlineLevel="0" collapsed="false">
      <c r="B244" s="6" t="s">
        <v>755</v>
      </c>
      <c r="C244" s="6" t="s">
        <v>698</v>
      </c>
      <c r="D244" s="6" t="s">
        <v>756</v>
      </c>
      <c r="E244" s="6" t="s">
        <v>757</v>
      </c>
      <c r="F244" s="6" t="s">
        <v>51</v>
      </c>
      <c r="G244" s="6" t="s">
        <v>30</v>
      </c>
      <c r="H244" s="7" t="s">
        <v>16</v>
      </c>
      <c r="I244" s="6" t="s">
        <v>17</v>
      </c>
      <c r="J244" s="6" t="s">
        <v>18</v>
      </c>
    </row>
    <row r="245" customFormat="false" ht="30" hidden="false" customHeight="true" outlineLevel="0" collapsed="false">
      <c r="B245" s="4" t="s">
        <v>758</v>
      </c>
      <c r="C245" s="4" t="s">
        <v>759</v>
      </c>
      <c r="D245" s="4" t="s">
        <v>760</v>
      </c>
      <c r="E245" s="4" t="s">
        <v>761</v>
      </c>
      <c r="F245" s="4" t="s">
        <v>29</v>
      </c>
      <c r="G245" s="4" t="s">
        <v>15</v>
      </c>
      <c r="H245" s="5" t="s">
        <v>16</v>
      </c>
      <c r="I245" s="4" t="s">
        <v>17</v>
      </c>
      <c r="J245" s="4" t="s">
        <v>31</v>
      </c>
    </row>
    <row r="246" customFormat="false" ht="30" hidden="false" customHeight="true" outlineLevel="0" collapsed="false">
      <c r="B246" s="6" t="s">
        <v>762</v>
      </c>
      <c r="C246" s="6" t="s">
        <v>759</v>
      </c>
      <c r="D246" s="6" t="s">
        <v>763</v>
      </c>
      <c r="E246" s="6" t="s">
        <v>764</v>
      </c>
      <c r="F246" s="6" t="s">
        <v>29</v>
      </c>
      <c r="G246" s="6" t="s">
        <v>30</v>
      </c>
      <c r="H246" s="7" t="s">
        <v>16</v>
      </c>
      <c r="I246" s="6" t="s">
        <v>17</v>
      </c>
      <c r="J246" s="6" t="s">
        <v>31</v>
      </c>
    </row>
    <row r="247" customFormat="false" ht="30" hidden="false" customHeight="true" outlineLevel="0" collapsed="false">
      <c r="B247" s="4" t="s">
        <v>765</v>
      </c>
      <c r="C247" s="4" t="s">
        <v>759</v>
      </c>
      <c r="D247" s="4" t="s">
        <v>766</v>
      </c>
      <c r="E247" s="4" t="s">
        <v>767</v>
      </c>
      <c r="F247" s="4" t="s">
        <v>58</v>
      </c>
      <c r="G247" s="4" t="s">
        <v>30</v>
      </c>
      <c r="H247" s="5" t="s">
        <v>16</v>
      </c>
      <c r="I247" s="4" t="s">
        <v>17</v>
      </c>
      <c r="J247" s="4" t="s">
        <v>31</v>
      </c>
    </row>
    <row r="248" customFormat="false" ht="30" hidden="false" customHeight="true" outlineLevel="0" collapsed="false">
      <c r="B248" s="6" t="s">
        <v>768</v>
      </c>
      <c r="C248" s="6" t="s">
        <v>759</v>
      </c>
      <c r="D248" s="6" t="s">
        <v>769</v>
      </c>
      <c r="E248" s="6" t="s">
        <v>770</v>
      </c>
      <c r="F248" s="6" t="s">
        <v>97</v>
      </c>
      <c r="G248" s="6" t="s">
        <v>30</v>
      </c>
      <c r="H248" s="7" t="s">
        <v>16</v>
      </c>
      <c r="I248" s="8" t="s">
        <v>59</v>
      </c>
      <c r="J248" s="6" t="s">
        <v>31</v>
      </c>
    </row>
    <row r="249" customFormat="false" ht="30" hidden="false" customHeight="true" outlineLevel="0" collapsed="false">
      <c r="B249" s="4" t="s">
        <v>771</v>
      </c>
      <c r="C249" s="4" t="s">
        <v>759</v>
      </c>
      <c r="D249" s="4" t="s">
        <v>772</v>
      </c>
      <c r="E249" s="4" t="s">
        <v>773</v>
      </c>
      <c r="F249" s="4" t="s">
        <v>97</v>
      </c>
      <c r="G249" s="4" t="s">
        <v>15</v>
      </c>
      <c r="H249" s="4" t="s">
        <v>17</v>
      </c>
      <c r="I249" s="5" t="s">
        <v>22</v>
      </c>
      <c r="J249" s="4" t="s">
        <v>31</v>
      </c>
    </row>
    <row r="250" customFormat="false" ht="30" hidden="false" customHeight="true" outlineLevel="0" collapsed="false">
      <c r="B250" s="6" t="s">
        <v>774</v>
      </c>
      <c r="C250" s="6" t="s">
        <v>759</v>
      </c>
      <c r="D250" s="6" t="s">
        <v>775</v>
      </c>
      <c r="E250" s="6" t="s">
        <v>776</v>
      </c>
      <c r="F250" s="6" t="s">
        <v>29</v>
      </c>
      <c r="G250" s="6" t="s">
        <v>30</v>
      </c>
      <c r="H250" s="6" t="s">
        <v>17</v>
      </c>
      <c r="I250" s="7" t="s">
        <v>22</v>
      </c>
      <c r="J250" s="6" t="s">
        <v>31</v>
      </c>
    </row>
    <row r="251" customFormat="false" ht="30" hidden="false" customHeight="true" outlineLevel="0" collapsed="false">
      <c r="B251" s="4" t="s">
        <v>777</v>
      </c>
      <c r="C251" s="4" t="s">
        <v>759</v>
      </c>
      <c r="D251" s="4" t="s">
        <v>778</v>
      </c>
      <c r="E251" s="4" t="s">
        <v>779</v>
      </c>
      <c r="F251" s="4" t="s">
        <v>97</v>
      </c>
      <c r="G251" s="4" t="s">
        <v>30</v>
      </c>
      <c r="H251" s="5" t="s">
        <v>16</v>
      </c>
      <c r="I251" s="4" t="s">
        <v>17</v>
      </c>
      <c r="J251" s="4" t="s">
        <v>31</v>
      </c>
    </row>
    <row r="252" customFormat="false" ht="30" hidden="false" customHeight="true" outlineLevel="0" collapsed="false">
      <c r="B252" s="6" t="s">
        <v>780</v>
      </c>
      <c r="C252" s="6" t="s">
        <v>759</v>
      </c>
      <c r="D252" s="6" t="s">
        <v>781</v>
      </c>
      <c r="E252" s="6" t="s">
        <v>782</v>
      </c>
      <c r="F252" s="6" t="s">
        <v>35</v>
      </c>
      <c r="G252" s="6" t="s">
        <v>15</v>
      </c>
      <c r="H252" s="7" t="s">
        <v>16</v>
      </c>
      <c r="I252" s="6" t="s">
        <v>17</v>
      </c>
      <c r="J252" s="6" t="s">
        <v>18</v>
      </c>
    </row>
    <row r="253" customFormat="false" ht="30" hidden="false" customHeight="true" outlineLevel="0" collapsed="false">
      <c r="B253" s="4" t="s">
        <v>783</v>
      </c>
      <c r="C253" s="4" t="s">
        <v>759</v>
      </c>
      <c r="D253" s="4" t="s">
        <v>784</v>
      </c>
      <c r="E253" s="4" t="s">
        <v>785</v>
      </c>
      <c r="F253" s="4" t="s">
        <v>51</v>
      </c>
      <c r="G253" s="4" t="s">
        <v>30</v>
      </c>
      <c r="H253" s="5" t="s">
        <v>16</v>
      </c>
      <c r="I253" s="4" t="s">
        <v>17</v>
      </c>
      <c r="J253" s="4" t="s">
        <v>31</v>
      </c>
    </row>
    <row r="254" customFormat="false" ht="30" hidden="false" customHeight="true" outlineLevel="0" collapsed="false">
      <c r="B254" s="6" t="s">
        <v>786</v>
      </c>
      <c r="C254" s="6" t="s">
        <v>759</v>
      </c>
      <c r="D254" s="6" t="s">
        <v>787</v>
      </c>
      <c r="E254" s="6" t="s">
        <v>788</v>
      </c>
      <c r="F254" s="6" t="s">
        <v>29</v>
      </c>
      <c r="G254" s="6" t="s">
        <v>30</v>
      </c>
      <c r="H254" s="7" t="s">
        <v>16</v>
      </c>
      <c r="I254" s="7" t="s">
        <v>22</v>
      </c>
      <c r="J254" s="6" t="s">
        <v>31</v>
      </c>
    </row>
    <row r="255" customFormat="false" ht="30" hidden="false" customHeight="true" outlineLevel="0" collapsed="false">
      <c r="B255" s="4" t="s">
        <v>789</v>
      </c>
      <c r="C255" s="4" t="s">
        <v>759</v>
      </c>
      <c r="D255" s="4" t="s">
        <v>790</v>
      </c>
      <c r="E255" s="4" t="s">
        <v>791</v>
      </c>
      <c r="F255" s="4" t="s">
        <v>58</v>
      </c>
      <c r="G255" s="4" t="s">
        <v>15</v>
      </c>
      <c r="H255" s="4" t="s">
        <v>17</v>
      </c>
      <c r="I255" s="4" t="s">
        <v>17</v>
      </c>
      <c r="J255" s="4" t="s">
        <v>31</v>
      </c>
    </row>
    <row r="256" customFormat="false" ht="30" hidden="false" customHeight="true" outlineLevel="0" collapsed="false">
      <c r="B256" s="6" t="s">
        <v>792</v>
      </c>
      <c r="C256" s="6" t="s">
        <v>759</v>
      </c>
      <c r="D256" s="6" t="s">
        <v>793</v>
      </c>
      <c r="E256" s="6" t="s">
        <v>794</v>
      </c>
      <c r="F256" s="6" t="s">
        <v>58</v>
      </c>
      <c r="G256" s="6" t="s">
        <v>15</v>
      </c>
      <c r="H256" s="6" t="s">
        <v>17</v>
      </c>
      <c r="I256" s="7" t="s">
        <v>22</v>
      </c>
      <c r="J256" s="6" t="s">
        <v>31</v>
      </c>
    </row>
    <row r="257" customFormat="false" ht="30" hidden="false" customHeight="true" outlineLevel="0" collapsed="false">
      <c r="B257" s="4" t="s">
        <v>795</v>
      </c>
      <c r="C257" s="4" t="s">
        <v>759</v>
      </c>
      <c r="D257" s="4" t="s">
        <v>796</v>
      </c>
      <c r="E257" s="4" t="s">
        <v>797</v>
      </c>
      <c r="F257" s="4" t="s">
        <v>29</v>
      </c>
      <c r="G257" s="4" t="s">
        <v>30</v>
      </c>
      <c r="H257" s="4" t="s">
        <v>17</v>
      </c>
      <c r="I257" s="4" t="s">
        <v>17</v>
      </c>
      <c r="J257" s="4" t="s">
        <v>31</v>
      </c>
    </row>
    <row r="258" customFormat="false" ht="30" hidden="false" customHeight="true" outlineLevel="0" collapsed="false">
      <c r="B258" s="6" t="s">
        <v>798</v>
      </c>
      <c r="C258" s="6" t="s">
        <v>759</v>
      </c>
      <c r="D258" s="6" t="s">
        <v>799</v>
      </c>
      <c r="E258" s="6" t="s">
        <v>800</v>
      </c>
      <c r="F258" s="6" t="s">
        <v>58</v>
      </c>
      <c r="G258" s="6" t="s">
        <v>15</v>
      </c>
      <c r="H258" s="6" t="s">
        <v>17</v>
      </c>
      <c r="I258" s="6" t="s">
        <v>17</v>
      </c>
      <c r="J258" s="6" t="s">
        <v>31</v>
      </c>
    </row>
    <row r="259" customFormat="false" ht="30" hidden="false" customHeight="true" outlineLevel="0" collapsed="false">
      <c r="B259" s="4" t="s">
        <v>801</v>
      </c>
      <c r="C259" s="4" t="s">
        <v>759</v>
      </c>
      <c r="D259" s="4" t="s">
        <v>802</v>
      </c>
      <c r="E259" s="4" t="s">
        <v>803</v>
      </c>
      <c r="F259" s="4" t="s">
        <v>58</v>
      </c>
      <c r="G259" s="4" t="s">
        <v>15</v>
      </c>
      <c r="H259" s="4" t="s">
        <v>17</v>
      </c>
      <c r="I259" s="4" t="s">
        <v>17</v>
      </c>
      <c r="J259" s="4" t="s">
        <v>18</v>
      </c>
    </row>
    <row r="260" customFormat="false" ht="30" hidden="false" customHeight="true" outlineLevel="0" collapsed="false">
      <c r="B260" s="6" t="s">
        <v>804</v>
      </c>
      <c r="C260" s="6" t="s">
        <v>759</v>
      </c>
      <c r="D260" s="6" t="s">
        <v>805</v>
      </c>
      <c r="E260" s="6" t="s">
        <v>806</v>
      </c>
      <c r="F260" s="6" t="s">
        <v>58</v>
      </c>
      <c r="G260" s="6" t="s">
        <v>30</v>
      </c>
      <c r="H260" s="6" t="s">
        <v>17</v>
      </c>
      <c r="I260" s="7" t="s">
        <v>22</v>
      </c>
      <c r="J260" s="6" t="s">
        <v>31</v>
      </c>
    </row>
    <row r="261" customFormat="false" ht="30" hidden="false" customHeight="true" outlineLevel="0" collapsed="false">
      <c r="B261" s="4" t="s">
        <v>807</v>
      </c>
      <c r="C261" s="4" t="s">
        <v>759</v>
      </c>
      <c r="D261" s="4" t="s">
        <v>808</v>
      </c>
      <c r="E261" s="4" t="s">
        <v>809</v>
      </c>
      <c r="F261" s="4" t="s">
        <v>97</v>
      </c>
      <c r="G261" s="4" t="s">
        <v>30</v>
      </c>
      <c r="H261" s="4" t="s">
        <v>17</v>
      </c>
      <c r="I261" s="4" t="s">
        <v>17</v>
      </c>
      <c r="J261" s="4" t="s">
        <v>31</v>
      </c>
    </row>
    <row r="262" customFormat="false" ht="30" hidden="false" customHeight="true" outlineLevel="0" collapsed="false">
      <c r="B262" s="6" t="s">
        <v>810</v>
      </c>
      <c r="C262" s="6" t="s">
        <v>759</v>
      </c>
      <c r="D262" s="6" t="s">
        <v>811</v>
      </c>
      <c r="E262" s="6" t="s">
        <v>812</v>
      </c>
      <c r="F262" s="6" t="s">
        <v>97</v>
      </c>
      <c r="G262" s="6" t="s">
        <v>15</v>
      </c>
      <c r="H262" s="7" t="s">
        <v>16</v>
      </c>
      <c r="I262" s="6" t="s">
        <v>17</v>
      </c>
      <c r="J262" s="6" t="s">
        <v>18</v>
      </c>
    </row>
    <row r="263" customFormat="false" ht="30" hidden="false" customHeight="true" outlineLevel="0" collapsed="false">
      <c r="B263" s="4" t="s">
        <v>813</v>
      </c>
      <c r="C263" s="4" t="s">
        <v>759</v>
      </c>
      <c r="D263" s="4" t="s">
        <v>814</v>
      </c>
      <c r="E263" s="4" t="s">
        <v>815</v>
      </c>
      <c r="F263" s="4" t="s">
        <v>58</v>
      </c>
      <c r="G263" s="4" t="s">
        <v>30</v>
      </c>
      <c r="H263" s="4" t="s">
        <v>17</v>
      </c>
      <c r="I263" s="5" t="s">
        <v>22</v>
      </c>
      <c r="J263" s="4" t="s">
        <v>31</v>
      </c>
    </row>
    <row r="264" customFormat="false" ht="30" hidden="false" customHeight="true" outlineLevel="0" collapsed="false">
      <c r="B264" s="6" t="s">
        <v>816</v>
      </c>
      <c r="C264" s="6" t="s">
        <v>759</v>
      </c>
      <c r="D264" s="6" t="s">
        <v>817</v>
      </c>
      <c r="E264" s="6" t="s">
        <v>818</v>
      </c>
      <c r="F264" s="6" t="s">
        <v>29</v>
      </c>
      <c r="G264" s="6" t="s">
        <v>30</v>
      </c>
      <c r="H264" s="6" t="s">
        <v>17</v>
      </c>
      <c r="I264" s="7" t="s">
        <v>22</v>
      </c>
      <c r="J264" s="6" t="s">
        <v>31</v>
      </c>
    </row>
    <row r="265" customFormat="false" ht="30" hidden="false" customHeight="true" outlineLevel="0" collapsed="false">
      <c r="B265" s="4" t="s">
        <v>819</v>
      </c>
      <c r="C265" s="4" t="s">
        <v>820</v>
      </c>
      <c r="D265" s="4" t="s">
        <v>821</v>
      </c>
      <c r="E265" s="4" t="s">
        <v>822</v>
      </c>
      <c r="F265" s="4" t="s">
        <v>29</v>
      </c>
      <c r="G265" s="4" t="s">
        <v>30</v>
      </c>
      <c r="H265" s="5" t="s">
        <v>16</v>
      </c>
      <c r="I265" s="5" t="s">
        <v>22</v>
      </c>
      <c r="J265" s="4" t="s">
        <v>31</v>
      </c>
    </row>
    <row r="266" customFormat="false" ht="30" hidden="false" customHeight="true" outlineLevel="0" collapsed="false">
      <c r="B266" s="6" t="s">
        <v>823</v>
      </c>
      <c r="C266" s="6" t="s">
        <v>820</v>
      </c>
      <c r="D266" s="6" t="s">
        <v>824</v>
      </c>
      <c r="E266" s="6" t="s">
        <v>825</v>
      </c>
      <c r="F266" s="6" t="s">
        <v>14</v>
      </c>
      <c r="G266" s="6" t="s">
        <v>30</v>
      </c>
      <c r="H266" s="6" t="s">
        <v>17</v>
      </c>
      <c r="I266" s="7" t="s">
        <v>22</v>
      </c>
      <c r="J266" s="6" t="s">
        <v>31</v>
      </c>
    </row>
    <row r="267" customFormat="false" ht="30" hidden="false" customHeight="true" outlineLevel="0" collapsed="false">
      <c r="B267" s="4" t="s">
        <v>826</v>
      </c>
      <c r="C267" s="4" t="s">
        <v>820</v>
      </c>
      <c r="D267" s="4" t="s">
        <v>827</v>
      </c>
      <c r="E267" s="4" t="s">
        <v>828</v>
      </c>
      <c r="F267" s="4" t="s">
        <v>29</v>
      </c>
      <c r="G267" s="4" t="s">
        <v>30</v>
      </c>
      <c r="H267" s="4" t="s">
        <v>17</v>
      </c>
      <c r="I267" s="5" t="s">
        <v>22</v>
      </c>
      <c r="J267" s="4" t="s">
        <v>31</v>
      </c>
    </row>
    <row r="268" customFormat="false" ht="30" hidden="false" customHeight="true" outlineLevel="0" collapsed="false">
      <c r="B268" s="6" t="s">
        <v>829</v>
      </c>
      <c r="C268" s="6" t="s">
        <v>820</v>
      </c>
      <c r="D268" s="6" t="s">
        <v>830</v>
      </c>
      <c r="E268" s="6" t="s">
        <v>831</v>
      </c>
      <c r="F268" s="6" t="s">
        <v>97</v>
      </c>
      <c r="G268" s="6" t="s">
        <v>30</v>
      </c>
      <c r="H268" s="6" t="s">
        <v>17</v>
      </c>
      <c r="I268" s="7" t="s">
        <v>22</v>
      </c>
      <c r="J268" s="6" t="s">
        <v>31</v>
      </c>
    </row>
    <row r="269" customFormat="false" ht="30" hidden="false" customHeight="true" outlineLevel="0" collapsed="false">
      <c r="B269" s="4" t="s">
        <v>832</v>
      </c>
      <c r="C269" s="4" t="s">
        <v>820</v>
      </c>
      <c r="D269" s="4" t="s">
        <v>833</v>
      </c>
      <c r="E269" s="4" t="s">
        <v>834</v>
      </c>
      <c r="F269" s="4" t="s">
        <v>29</v>
      </c>
      <c r="G269" s="4" t="s">
        <v>30</v>
      </c>
      <c r="H269" s="4" t="s">
        <v>17</v>
      </c>
      <c r="I269" s="5" t="s">
        <v>22</v>
      </c>
      <c r="J269" s="4" t="s">
        <v>31</v>
      </c>
    </row>
    <row r="270" customFormat="false" ht="30" hidden="false" customHeight="true" outlineLevel="0" collapsed="false">
      <c r="B270" s="6" t="s">
        <v>835</v>
      </c>
      <c r="C270" s="6" t="s">
        <v>820</v>
      </c>
      <c r="D270" s="6" t="s">
        <v>836</v>
      </c>
      <c r="E270" s="6" t="s">
        <v>837</v>
      </c>
      <c r="F270" s="6" t="s">
        <v>97</v>
      </c>
      <c r="G270" s="6" t="s">
        <v>30</v>
      </c>
      <c r="H270" s="6" t="s">
        <v>17</v>
      </c>
      <c r="I270" s="7" t="s">
        <v>22</v>
      </c>
      <c r="J270" s="6" t="s">
        <v>31</v>
      </c>
    </row>
    <row r="271" customFormat="false" ht="30" hidden="false" customHeight="true" outlineLevel="0" collapsed="false">
      <c r="B271" s="4" t="s">
        <v>838</v>
      </c>
      <c r="C271" s="4" t="s">
        <v>820</v>
      </c>
      <c r="D271" s="4" t="s">
        <v>839</v>
      </c>
      <c r="E271" s="4" t="s">
        <v>840</v>
      </c>
      <c r="F271" s="4" t="s">
        <v>97</v>
      </c>
      <c r="G271" s="4" t="s">
        <v>30</v>
      </c>
      <c r="H271" s="4" t="s">
        <v>17</v>
      </c>
      <c r="I271" s="5" t="s">
        <v>22</v>
      </c>
      <c r="J271" s="4" t="s">
        <v>31</v>
      </c>
    </row>
    <row r="272" customFormat="false" ht="30" hidden="false" customHeight="true" outlineLevel="0" collapsed="false">
      <c r="B272" s="6" t="s">
        <v>841</v>
      </c>
      <c r="C272" s="6" t="s">
        <v>820</v>
      </c>
      <c r="D272" s="6" t="s">
        <v>842</v>
      </c>
      <c r="E272" s="6" t="s">
        <v>843</v>
      </c>
      <c r="F272" s="6" t="s">
        <v>97</v>
      </c>
      <c r="G272" s="6" t="s">
        <v>30</v>
      </c>
      <c r="H272" s="6" t="s">
        <v>17</v>
      </c>
      <c r="I272" s="7" t="s">
        <v>22</v>
      </c>
      <c r="J272" s="6" t="s">
        <v>31</v>
      </c>
    </row>
    <row r="273" customFormat="false" ht="30" hidden="false" customHeight="true" outlineLevel="0" collapsed="false">
      <c r="B273" s="4" t="s">
        <v>844</v>
      </c>
      <c r="C273" s="4" t="s">
        <v>820</v>
      </c>
      <c r="D273" s="4" t="s">
        <v>845</v>
      </c>
      <c r="E273" s="4" t="s">
        <v>846</v>
      </c>
      <c r="F273" s="4" t="s">
        <v>97</v>
      </c>
      <c r="G273" s="4" t="s">
        <v>30</v>
      </c>
      <c r="H273" s="4" t="s">
        <v>17</v>
      </c>
      <c r="I273" s="4" t="s">
        <v>17</v>
      </c>
      <c r="J273" s="4" t="s">
        <v>31</v>
      </c>
    </row>
    <row r="274" customFormat="false" ht="30" hidden="false" customHeight="true" outlineLevel="0" collapsed="false">
      <c r="B274" s="6" t="s">
        <v>847</v>
      </c>
      <c r="C274" s="6" t="s">
        <v>820</v>
      </c>
      <c r="D274" s="6" t="s">
        <v>848</v>
      </c>
      <c r="E274" s="6" t="s">
        <v>849</v>
      </c>
      <c r="F274" s="6" t="s">
        <v>97</v>
      </c>
      <c r="G274" s="6" t="s">
        <v>30</v>
      </c>
      <c r="H274" s="6" t="s">
        <v>17</v>
      </c>
      <c r="I274" s="6" t="s">
        <v>17</v>
      </c>
      <c r="J274" s="6" t="s">
        <v>31</v>
      </c>
    </row>
    <row r="275" customFormat="false" ht="30" hidden="false" customHeight="true" outlineLevel="0" collapsed="false">
      <c r="B275" s="4" t="s">
        <v>850</v>
      </c>
      <c r="C275" s="4" t="s">
        <v>820</v>
      </c>
      <c r="D275" s="4" t="s">
        <v>851</v>
      </c>
      <c r="E275" s="4" t="s">
        <v>852</v>
      </c>
      <c r="F275" s="4" t="s">
        <v>29</v>
      </c>
      <c r="G275" s="4" t="s">
        <v>30</v>
      </c>
      <c r="H275" s="4" t="s">
        <v>17</v>
      </c>
      <c r="I275" s="5" t="s">
        <v>22</v>
      </c>
      <c r="J275" s="4" t="s">
        <v>31</v>
      </c>
    </row>
    <row r="276" customFormat="false" ht="30" hidden="false" customHeight="true" outlineLevel="0" collapsed="false">
      <c r="B276" s="6" t="s">
        <v>853</v>
      </c>
      <c r="C276" s="6" t="s">
        <v>820</v>
      </c>
      <c r="D276" s="6" t="s">
        <v>854</v>
      </c>
      <c r="E276" s="6" t="s">
        <v>855</v>
      </c>
      <c r="F276" s="6" t="s">
        <v>14</v>
      </c>
      <c r="G276" s="6" t="s">
        <v>30</v>
      </c>
      <c r="H276" s="7" t="s">
        <v>16</v>
      </c>
      <c r="I276" s="7" t="s">
        <v>22</v>
      </c>
      <c r="J276" s="6" t="s">
        <v>31</v>
      </c>
    </row>
    <row r="277" customFormat="false" ht="30" hidden="false" customHeight="true" outlineLevel="0" collapsed="false">
      <c r="B277" s="4" t="s">
        <v>856</v>
      </c>
      <c r="C277" s="4" t="s">
        <v>820</v>
      </c>
      <c r="D277" s="4" t="s">
        <v>857</v>
      </c>
      <c r="E277" s="4" t="s">
        <v>858</v>
      </c>
      <c r="F277" s="4" t="s">
        <v>58</v>
      </c>
      <c r="G277" s="4" t="s">
        <v>30</v>
      </c>
      <c r="H277" s="4" t="s">
        <v>17</v>
      </c>
      <c r="I277" s="5" t="s">
        <v>22</v>
      </c>
      <c r="J277" s="4" t="s">
        <v>31</v>
      </c>
    </row>
    <row r="278" customFormat="false" ht="30" hidden="false" customHeight="true" outlineLevel="0" collapsed="false">
      <c r="B278" s="6" t="s">
        <v>859</v>
      </c>
      <c r="C278" s="6" t="s">
        <v>820</v>
      </c>
      <c r="D278" s="6" t="s">
        <v>860</v>
      </c>
      <c r="E278" s="6" t="s">
        <v>861</v>
      </c>
      <c r="F278" s="6" t="s">
        <v>14</v>
      </c>
      <c r="G278" s="6" t="s">
        <v>30</v>
      </c>
      <c r="H278" s="6" t="s">
        <v>17</v>
      </c>
      <c r="I278" s="7" t="s">
        <v>22</v>
      </c>
      <c r="J278" s="6" t="s">
        <v>31</v>
      </c>
    </row>
    <row r="279" customFormat="false" ht="30" hidden="false" customHeight="true" outlineLevel="0" collapsed="false">
      <c r="B279" s="4" t="s">
        <v>862</v>
      </c>
      <c r="C279" s="4" t="s">
        <v>820</v>
      </c>
      <c r="D279" s="4" t="s">
        <v>863</v>
      </c>
      <c r="E279" s="4" t="s">
        <v>864</v>
      </c>
      <c r="F279" s="4" t="s">
        <v>51</v>
      </c>
      <c r="G279" s="4" t="s">
        <v>30</v>
      </c>
      <c r="H279" s="4" t="s">
        <v>17</v>
      </c>
      <c r="I279" s="5" t="s">
        <v>22</v>
      </c>
      <c r="J279" s="4" t="s">
        <v>31</v>
      </c>
    </row>
    <row r="280" customFormat="false" ht="30" hidden="false" customHeight="true" outlineLevel="0" collapsed="false">
      <c r="B280" s="6" t="s">
        <v>865</v>
      </c>
      <c r="C280" s="6" t="s">
        <v>820</v>
      </c>
      <c r="D280" s="6" t="s">
        <v>866</v>
      </c>
      <c r="E280" s="6" t="s">
        <v>867</v>
      </c>
      <c r="F280" s="6" t="s">
        <v>51</v>
      </c>
      <c r="G280" s="6" t="s">
        <v>30</v>
      </c>
      <c r="H280" s="7" t="s">
        <v>16</v>
      </c>
      <c r="I280" s="7" t="s">
        <v>22</v>
      </c>
      <c r="J280" s="6" t="s">
        <v>31</v>
      </c>
    </row>
    <row r="281" customFormat="false" ht="30" hidden="false" customHeight="true" outlineLevel="0" collapsed="false">
      <c r="B281" s="4" t="s">
        <v>868</v>
      </c>
      <c r="C281" s="4" t="s">
        <v>820</v>
      </c>
      <c r="D281" s="4" t="s">
        <v>869</v>
      </c>
      <c r="E281" s="4" t="s">
        <v>870</v>
      </c>
      <c r="F281" s="4" t="s">
        <v>29</v>
      </c>
      <c r="G281" s="4" t="s">
        <v>30</v>
      </c>
      <c r="H281" s="4" t="s">
        <v>17</v>
      </c>
      <c r="I281" s="5" t="s">
        <v>22</v>
      </c>
      <c r="J281" s="4" t="s">
        <v>31</v>
      </c>
    </row>
    <row r="282" customFormat="false" ht="30" hidden="false" customHeight="true" outlineLevel="0" collapsed="false">
      <c r="B282" s="6" t="s">
        <v>871</v>
      </c>
      <c r="C282" s="6" t="s">
        <v>820</v>
      </c>
      <c r="D282" s="6" t="s">
        <v>872</v>
      </c>
      <c r="E282" s="6" t="s">
        <v>873</v>
      </c>
      <c r="F282" s="6" t="s">
        <v>51</v>
      </c>
      <c r="G282" s="6" t="s">
        <v>30</v>
      </c>
      <c r="H282" s="6" t="s">
        <v>17</v>
      </c>
      <c r="I282" s="7" t="s">
        <v>22</v>
      </c>
      <c r="J282" s="6" t="s">
        <v>31</v>
      </c>
    </row>
    <row r="283" customFormat="false" ht="30" hidden="false" customHeight="true" outlineLevel="0" collapsed="false">
      <c r="B283" s="4" t="s">
        <v>874</v>
      </c>
      <c r="C283" s="4" t="s">
        <v>820</v>
      </c>
      <c r="D283" s="4" t="s">
        <v>875</v>
      </c>
      <c r="E283" s="4" t="s">
        <v>876</v>
      </c>
      <c r="F283" s="4" t="s">
        <v>58</v>
      </c>
      <c r="G283" s="4" t="s">
        <v>30</v>
      </c>
      <c r="H283" s="4" t="s">
        <v>17</v>
      </c>
      <c r="I283" s="5" t="s">
        <v>22</v>
      </c>
      <c r="J283" s="4" t="s">
        <v>31</v>
      </c>
    </row>
    <row r="284" customFormat="false" ht="30" hidden="false" customHeight="true" outlineLevel="0" collapsed="false">
      <c r="B284" s="6" t="s">
        <v>877</v>
      </c>
      <c r="C284" s="6" t="s">
        <v>820</v>
      </c>
      <c r="D284" s="6" t="s">
        <v>878</v>
      </c>
      <c r="E284" s="6" t="s">
        <v>879</v>
      </c>
      <c r="F284" s="6" t="s">
        <v>29</v>
      </c>
      <c r="G284" s="6" t="s">
        <v>30</v>
      </c>
      <c r="H284" s="7" t="s">
        <v>16</v>
      </c>
      <c r="I284" s="7" t="s">
        <v>22</v>
      </c>
      <c r="J284" s="6" t="s">
        <v>31</v>
      </c>
    </row>
    <row r="285" customFormat="false" ht="30" hidden="false" customHeight="true" outlineLevel="0" collapsed="false">
      <c r="B285" s="4" t="s">
        <v>880</v>
      </c>
      <c r="C285" s="4" t="s">
        <v>881</v>
      </c>
      <c r="D285" s="4" t="s">
        <v>882</v>
      </c>
      <c r="E285" s="4" t="s">
        <v>883</v>
      </c>
      <c r="F285" s="4" t="s">
        <v>29</v>
      </c>
      <c r="G285" s="4" t="s">
        <v>30</v>
      </c>
      <c r="H285" s="5" t="s">
        <v>16</v>
      </c>
      <c r="I285" s="4" t="s">
        <v>17</v>
      </c>
      <c r="J285" s="4" t="s">
        <v>31</v>
      </c>
    </row>
    <row r="286" customFormat="false" ht="30" hidden="false" customHeight="true" outlineLevel="0" collapsed="false">
      <c r="B286" s="6" t="s">
        <v>884</v>
      </c>
      <c r="C286" s="6" t="s">
        <v>881</v>
      </c>
      <c r="D286" s="6" t="s">
        <v>885</v>
      </c>
      <c r="E286" s="6" t="s">
        <v>886</v>
      </c>
      <c r="F286" s="6" t="s">
        <v>29</v>
      </c>
      <c r="G286" s="6" t="s">
        <v>30</v>
      </c>
      <c r="H286" s="7" t="s">
        <v>16</v>
      </c>
      <c r="I286" s="6" t="s">
        <v>17</v>
      </c>
      <c r="J286" s="6" t="s">
        <v>31</v>
      </c>
    </row>
    <row r="287" customFormat="false" ht="30" hidden="false" customHeight="true" outlineLevel="0" collapsed="false">
      <c r="B287" s="4" t="s">
        <v>887</v>
      </c>
      <c r="C287" s="4" t="s">
        <v>881</v>
      </c>
      <c r="D287" s="4" t="s">
        <v>888</v>
      </c>
      <c r="E287" s="4" t="s">
        <v>889</v>
      </c>
      <c r="F287" s="4" t="s">
        <v>29</v>
      </c>
      <c r="G287" s="4" t="s">
        <v>30</v>
      </c>
      <c r="H287" s="4" t="s">
        <v>17</v>
      </c>
      <c r="I287" s="4" t="s">
        <v>17</v>
      </c>
      <c r="J287" s="4" t="s">
        <v>31</v>
      </c>
    </row>
    <row r="288" customFormat="false" ht="30" hidden="false" customHeight="true" outlineLevel="0" collapsed="false">
      <c r="B288" s="6" t="s">
        <v>890</v>
      </c>
      <c r="C288" s="6" t="s">
        <v>881</v>
      </c>
      <c r="D288" s="6" t="s">
        <v>891</v>
      </c>
      <c r="E288" s="6" t="s">
        <v>892</v>
      </c>
      <c r="F288" s="6" t="s">
        <v>29</v>
      </c>
      <c r="G288" s="6" t="s">
        <v>30</v>
      </c>
      <c r="H288" s="7" t="s">
        <v>16</v>
      </c>
      <c r="I288" s="6" t="s">
        <v>17</v>
      </c>
      <c r="J288" s="6" t="s">
        <v>31</v>
      </c>
    </row>
    <row r="289" customFormat="false" ht="30" hidden="false" customHeight="true" outlineLevel="0" collapsed="false">
      <c r="B289" s="4" t="s">
        <v>893</v>
      </c>
      <c r="C289" s="4" t="s">
        <v>881</v>
      </c>
      <c r="D289" s="4" t="s">
        <v>894</v>
      </c>
      <c r="E289" s="4" t="s">
        <v>895</v>
      </c>
      <c r="F289" s="4" t="s">
        <v>35</v>
      </c>
      <c r="G289" s="4" t="s">
        <v>30</v>
      </c>
      <c r="H289" s="5" t="s">
        <v>16</v>
      </c>
      <c r="I289" s="9" t="s">
        <v>59</v>
      </c>
      <c r="J289" s="4" t="s">
        <v>31</v>
      </c>
    </row>
    <row r="290" customFormat="false" ht="30" hidden="false" customHeight="true" outlineLevel="0" collapsed="false">
      <c r="B290" s="6" t="s">
        <v>896</v>
      </c>
      <c r="C290" s="6" t="s">
        <v>881</v>
      </c>
      <c r="D290" s="6" t="s">
        <v>897</v>
      </c>
      <c r="E290" s="6" t="s">
        <v>898</v>
      </c>
      <c r="F290" s="6" t="s">
        <v>97</v>
      </c>
      <c r="G290" s="6" t="s">
        <v>30</v>
      </c>
      <c r="H290" s="7" t="s">
        <v>16</v>
      </c>
      <c r="I290" s="6" t="s">
        <v>17</v>
      </c>
      <c r="J290" s="6" t="s">
        <v>31</v>
      </c>
    </row>
    <row r="291" customFormat="false" ht="30" hidden="false" customHeight="true" outlineLevel="0" collapsed="false">
      <c r="B291" s="4" t="s">
        <v>899</v>
      </c>
      <c r="C291" s="4" t="s">
        <v>881</v>
      </c>
      <c r="D291" s="4" t="s">
        <v>900</v>
      </c>
      <c r="E291" s="4" t="s">
        <v>901</v>
      </c>
      <c r="F291" s="4" t="s">
        <v>29</v>
      </c>
      <c r="G291" s="4" t="s">
        <v>15</v>
      </c>
      <c r="H291" s="4" t="s">
        <v>17</v>
      </c>
      <c r="I291" s="5" t="s">
        <v>22</v>
      </c>
      <c r="J291" s="4" t="s">
        <v>18</v>
      </c>
    </row>
    <row r="292" customFormat="false" ht="30" hidden="false" customHeight="true" outlineLevel="0" collapsed="false">
      <c r="B292" s="6" t="s">
        <v>902</v>
      </c>
      <c r="C292" s="6" t="s">
        <v>881</v>
      </c>
      <c r="D292" s="6" t="s">
        <v>903</v>
      </c>
      <c r="E292" s="6" t="s">
        <v>904</v>
      </c>
      <c r="F292" s="6" t="s">
        <v>14</v>
      </c>
      <c r="G292" s="6" t="s">
        <v>15</v>
      </c>
      <c r="H292" s="7" t="s">
        <v>16</v>
      </c>
      <c r="I292" s="7" t="s">
        <v>22</v>
      </c>
      <c r="J292" s="6" t="s">
        <v>18</v>
      </c>
    </row>
    <row r="293" customFormat="false" ht="30" hidden="false" customHeight="true" outlineLevel="0" collapsed="false">
      <c r="B293" s="4" t="s">
        <v>905</v>
      </c>
      <c r="C293" s="4" t="s">
        <v>881</v>
      </c>
      <c r="D293" s="4" t="s">
        <v>906</v>
      </c>
      <c r="E293" s="4" t="s">
        <v>907</v>
      </c>
      <c r="F293" s="4" t="s">
        <v>29</v>
      </c>
      <c r="G293" s="4" t="s">
        <v>15</v>
      </c>
      <c r="H293" s="5" t="s">
        <v>16</v>
      </c>
      <c r="I293" s="5" t="s">
        <v>22</v>
      </c>
      <c r="J293" s="4" t="s">
        <v>18</v>
      </c>
    </row>
    <row r="294" customFormat="false" ht="30" hidden="false" customHeight="true" outlineLevel="0" collapsed="false">
      <c r="B294" s="6" t="s">
        <v>908</v>
      </c>
      <c r="C294" s="6" t="s">
        <v>881</v>
      </c>
      <c r="D294" s="6" t="s">
        <v>909</v>
      </c>
      <c r="E294" s="6" t="s">
        <v>910</v>
      </c>
      <c r="F294" s="6" t="s">
        <v>29</v>
      </c>
      <c r="G294" s="6" t="s">
        <v>30</v>
      </c>
      <c r="H294" s="6" t="s">
        <v>17</v>
      </c>
      <c r="I294" s="7" t="s">
        <v>22</v>
      </c>
      <c r="J294" s="6" t="s">
        <v>18</v>
      </c>
    </row>
    <row r="295" customFormat="false" ht="30" hidden="false" customHeight="true" outlineLevel="0" collapsed="false">
      <c r="B295" s="4" t="s">
        <v>911</v>
      </c>
      <c r="C295" s="4" t="s">
        <v>881</v>
      </c>
      <c r="D295" s="4" t="s">
        <v>912</v>
      </c>
      <c r="E295" s="4" t="s">
        <v>913</v>
      </c>
      <c r="F295" s="4" t="s">
        <v>29</v>
      </c>
      <c r="G295" s="4" t="s">
        <v>30</v>
      </c>
      <c r="H295" s="4" t="s">
        <v>17</v>
      </c>
      <c r="I295" s="5" t="s">
        <v>22</v>
      </c>
      <c r="J295" s="4" t="s">
        <v>31</v>
      </c>
    </row>
    <row r="296" customFormat="false" ht="30" hidden="false" customHeight="true" outlineLevel="0" collapsed="false">
      <c r="B296" s="6" t="s">
        <v>914</v>
      </c>
      <c r="C296" s="6" t="s">
        <v>881</v>
      </c>
      <c r="D296" s="6" t="s">
        <v>915</v>
      </c>
      <c r="E296" s="6" t="s">
        <v>916</v>
      </c>
      <c r="F296" s="6" t="s">
        <v>51</v>
      </c>
      <c r="G296" s="6" t="s">
        <v>30</v>
      </c>
      <c r="H296" s="6" t="s">
        <v>17</v>
      </c>
      <c r="I296" s="7" t="s">
        <v>22</v>
      </c>
      <c r="J296" s="6" t="s">
        <v>31</v>
      </c>
    </row>
    <row r="297" customFormat="false" ht="30" hidden="false" customHeight="true" outlineLevel="0" collapsed="false">
      <c r="B297" s="4" t="s">
        <v>917</v>
      </c>
      <c r="C297" s="4" t="s">
        <v>881</v>
      </c>
      <c r="D297" s="4" t="s">
        <v>918</v>
      </c>
      <c r="E297" s="4" t="s">
        <v>919</v>
      </c>
      <c r="F297" s="4" t="s">
        <v>29</v>
      </c>
      <c r="G297" s="4" t="s">
        <v>30</v>
      </c>
      <c r="H297" s="4" t="s">
        <v>17</v>
      </c>
      <c r="I297" s="9" t="s">
        <v>59</v>
      </c>
      <c r="J297" s="4" t="s">
        <v>31</v>
      </c>
    </row>
    <row r="298" customFormat="false" ht="30" hidden="false" customHeight="true" outlineLevel="0" collapsed="false">
      <c r="B298" s="6" t="s">
        <v>920</v>
      </c>
      <c r="C298" s="6" t="s">
        <v>881</v>
      </c>
      <c r="D298" s="6" t="s">
        <v>921</v>
      </c>
      <c r="E298" s="6" t="s">
        <v>922</v>
      </c>
      <c r="F298" s="6" t="s">
        <v>29</v>
      </c>
      <c r="G298" s="6" t="s">
        <v>30</v>
      </c>
      <c r="H298" s="6" t="s">
        <v>17</v>
      </c>
      <c r="I298" s="6" t="s">
        <v>17</v>
      </c>
      <c r="J298" s="6" t="s">
        <v>31</v>
      </c>
    </row>
    <row r="299" customFormat="false" ht="30" hidden="false" customHeight="true" outlineLevel="0" collapsed="false">
      <c r="B299" s="4" t="s">
        <v>923</v>
      </c>
      <c r="C299" s="4" t="s">
        <v>881</v>
      </c>
      <c r="D299" s="4" t="s">
        <v>924</v>
      </c>
      <c r="E299" s="4" t="s">
        <v>925</v>
      </c>
      <c r="F299" s="4" t="s">
        <v>51</v>
      </c>
      <c r="G299" s="4" t="s">
        <v>30</v>
      </c>
      <c r="H299" s="4" t="s">
        <v>17</v>
      </c>
      <c r="I299" s="5" t="s">
        <v>22</v>
      </c>
      <c r="J299" s="4" t="s">
        <v>31</v>
      </c>
    </row>
    <row r="300" customFormat="false" ht="30" hidden="false" customHeight="true" outlineLevel="0" collapsed="false">
      <c r="B300" s="6" t="s">
        <v>926</v>
      </c>
      <c r="C300" s="6" t="s">
        <v>881</v>
      </c>
      <c r="D300" s="6" t="s">
        <v>927</v>
      </c>
      <c r="E300" s="6" t="s">
        <v>928</v>
      </c>
      <c r="F300" s="6" t="s">
        <v>51</v>
      </c>
      <c r="G300" s="6" t="s">
        <v>30</v>
      </c>
      <c r="H300" s="6" t="s">
        <v>17</v>
      </c>
      <c r="I300" s="7" t="s">
        <v>22</v>
      </c>
      <c r="J300" s="6" t="s">
        <v>31</v>
      </c>
    </row>
    <row r="301" customFormat="false" ht="30" hidden="false" customHeight="true" outlineLevel="0" collapsed="false">
      <c r="B301" s="4" t="s">
        <v>929</v>
      </c>
      <c r="C301" s="4" t="s">
        <v>881</v>
      </c>
      <c r="D301" s="4" t="s">
        <v>930</v>
      </c>
      <c r="E301" s="4" t="s">
        <v>931</v>
      </c>
      <c r="F301" s="4" t="s">
        <v>29</v>
      </c>
      <c r="G301" s="4" t="s">
        <v>30</v>
      </c>
      <c r="H301" s="4" t="s">
        <v>17</v>
      </c>
      <c r="I301" s="9" t="s">
        <v>59</v>
      </c>
      <c r="J301" s="4" t="s">
        <v>31</v>
      </c>
    </row>
    <row r="302" customFormat="false" ht="30" hidden="false" customHeight="true" outlineLevel="0" collapsed="false">
      <c r="B302" s="6" t="s">
        <v>932</v>
      </c>
      <c r="C302" s="6" t="s">
        <v>881</v>
      </c>
      <c r="D302" s="6" t="s">
        <v>933</v>
      </c>
      <c r="E302" s="6" t="s">
        <v>934</v>
      </c>
      <c r="F302" s="6" t="s">
        <v>29</v>
      </c>
      <c r="G302" s="6" t="s">
        <v>30</v>
      </c>
      <c r="H302" s="6" t="s">
        <v>17</v>
      </c>
      <c r="I302" s="7" t="s">
        <v>22</v>
      </c>
      <c r="J302" s="6" t="s">
        <v>31</v>
      </c>
    </row>
    <row r="303" customFormat="false" ht="30" hidden="false" customHeight="true" outlineLevel="0" collapsed="false">
      <c r="B303" s="4" t="s">
        <v>935</v>
      </c>
      <c r="C303" s="4" t="s">
        <v>881</v>
      </c>
      <c r="D303" s="4" t="s">
        <v>936</v>
      </c>
      <c r="E303" s="4" t="s">
        <v>937</v>
      </c>
      <c r="F303" s="4" t="s">
        <v>97</v>
      </c>
      <c r="G303" s="4" t="s">
        <v>30</v>
      </c>
      <c r="H303" s="4" t="s">
        <v>17</v>
      </c>
      <c r="I303" s="5" t="s">
        <v>22</v>
      </c>
      <c r="J303" s="4" t="s">
        <v>31</v>
      </c>
    </row>
    <row r="304" customFormat="false" ht="30" hidden="false" customHeight="true" outlineLevel="0" collapsed="false">
      <c r="B304" s="6" t="s">
        <v>938</v>
      </c>
      <c r="C304" s="6" t="s">
        <v>881</v>
      </c>
      <c r="D304" s="6" t="s">
        <v>939</v>
      </c>
      <c r="E304" s="6" t="s">
        <v>940</v>
      </c>
      <c r="F304" s="6" t="s">
        <v>29</v>
      </c>
      <c r="G304" s="6" t="s">
        <v>30</v>
      </c>
      <c r="H304" s="7" t="s">
        <v>16</v>
      </c>
      <c r="I304" s="6" t="s">
        <v>17</v>
      </c>
      <c r="J304" s="6" t="s">
        <v>31</v>
      </c>
    </row>
    <row r="306" customFormat="false" ht="15" hidden="false" customHeight="false" outlineLevel="0" collapsed="false">
      <c r="B306" s="10" t="s">
        <v>941</v>
      </c>
    </row>
  </sheetData>
  <autoFilter ref="B4:J304"/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7"/>
    <col collapsed="false" customWidth="true" hidden="false" outlineLevel="0" max="3" min="3" style="1" width="9"/>
    <col collapsed="false" customWidth="true" hidden="false" outlineLevel="0" max="4" min="4" style="1" width="28"/>
    <col collapsed="false" customWidth="true" hidden="false" outlineLevel="0" max="5" min="5" style="1" width="3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62"/>
  </cols>
  <sheetData>
    <row r="2" customFormat="false" ht="31.5" hidden="false" customHeight="true" outlineLevel="0" collapsed="false">
      <c r="B2" s="2" t="s">
        <v>942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27.75" hidden="false" customHeight="true" outlineLevel="0" collapsed="false">
      <c r="B4" s="3" t="s">
        <v>943</v>
      </c>
      <c r="C4" s="3" t="s">
        <v>944</v>
      </c>
      <c r="D4" s="3" t="s">
        <v>3</v>
      </c>
      <c r="E4" s="3" t="s">
        <v>2</v>
      </c>
      <c r="F4" s="3" t="s">
        <v>945</v>
      </c>
      <c r="G4" s="3" t="s">
        <v>8</v>
      </c>
      <c r="H4" s="3" t="s">
        <v>946</v>
      </c>
    </row>
    <row r="5" customFormat="false" ht="31.5" hidden="false" customHeight="true" outlineLevel="0" collapsed="false">
      <c r="B5" s="4" t="n">
        <v>1</v>
      </c>
      <c r="C5" s="4" t="s">
        <v>19</v>
      </c>
      <c r="D5" s="4" t="s">
        <v>20</v>
      </c>
      <c r="E5" s="4" t="s">
        <v>11</v>
      </c>
      <c r="F5" s="4" t="s">
        <v>18</v>
      </c>
      <c r="G5" s="4" t="s">
        <v>22</v>
      </c>
      <c r="H5" s="4" t="s">
        <v>947</v>
      </c>
    </row>
    <row r="6" customFormat="false" ht="31.5" hidden="false" customHeight="true" outlineLevel="0" collapsed="false">
      <c r="B6" s="6" t="n">
        <v>2</v>
      </c>
      <c r="C6" s="6" t="s">
        <v>45</v>
      </c>
      <c r="D6" s="6" t="s">
        <v>46</v>
      </c>
      <c r="E6" s="6" t="s">
        <v>11</v>
      </c>
      <c r="F6" s="6" t="s">
        <v>18</v>
      </c>
      <c r="G6" s="6" t="s">
        <v>17</v>
      </c>
      <c r="H6" s="6" t="s">
        <v>948</v>
      </c>
    </row>
    <row r="7" customFormat="false" ht="31.5" hidden="false" customHeight="true" outlineLevel="0" collapsed="false">
      <c r="B7" s="4" t="n">
        <v>3</v>
      </c>
      <c r="C7" s="4" t="s">
        <v>207</v>
      </c>
      <c r="D7" s="4" t="s">
        <v>209</v>
      </c>
      <c r="E7" s="4" t="s">
        <v>208</v>
      </c>
      <c r="F7" s="4" t="s">
        <v>211</v>
      </c>
      <c r="G7" s="4" t="s">
        <v>22</v>
      </c>
      <c r="H7" s="4" t="s">
        <v>949</v>
      </c>
    </row>
    <row r="8" customFormat="false" ht="31.5" hidden="false" customHeight="true" outlineLevel="0" collapsed="false">
      <c r="B8" s="6" t="n">
        <v>4</v>
      </c>
      <c r="C8" s="6" t="s">
        <v>212</v>
      </c>
      <c r="D8" s="6" t="s">
        <v>213</v>
      </c>
      <c r="E8" s="6" t="s">
        <v>208</v>
      </c>
      <c r="F8" s="6" t="s">
        <v>211</v>
      </c>
      <c r="G8" s="6" t="s">
        <v>22</v>
      </c>
      <c r="H8" s="6" t="s">
        <v>950</v>
      </c>
    </row>
    <row r="9" customFormat="false" ht="31.5" hidden="false" customHeight="true" outlineLevel="0" collapsed="false">
      <c r="B9" s="4" t="n">
        <v>5</v>
      </c>
      <c r="C9" s="4" t="s">
        <v>391</v>
      </c>
      <c r="D9" s="4" t="s">
        <v>393</v>
      </c>
      <c r="E9" s="4" t="s">
        <v>392</v>
      </c>
      <c r="F9" s="4" t="s">
        <v>18</v>
      </c>
      <c r="G9" s="4" t="s">
        <v>22</v>
      </c>
      <c r="H9" s="4" t="s">
        <v>951</v>
      </c>
    </row>
    <row r="10" customFormat="false" ht="31.5" hidden="false" customHeight="true" outlineLevel="0" collapsed="false">
      <c r="B10" s="6" t="n">
        <v>6</v>
      </c>
      <c r="C10" s="6" t="s">
        <v>269</v>
      </c>
      <c r="D10" s="6" t="s">
        <v>271</v>
      </c>
      <c r="E10" s="6" t="s">
        <v>270</v>
      </c>
      <c r="F10" s="6" t="s">
        <v>18</v>
      </c>
      <c r="G10" s="6" t="s">
        <v>22</v>
      </c>
      <c r="H10" s="6" t="s">
        <v>952</v>
      </c>
    </row>
    <row r="11" customFormat="false" ht="31.5" hidden="false" customHeight="true" outlineLevel="0" collapsed="false">
      <c r="B11" s="4" t="n">
        <v>7</v>
      </c>
      <c r="C11" s="4" t="s">
        <v>279</v>
      </c>
      <c r="D11" s="4" t="s">
        <v>280</v>
      </c>
      <c r="E11" s="4" t="s">
        <v>270</v>
      </c>
      <c r="F11" s="4" t="s">
        <v>18</v>
      </c>
      <c r="G11" s="4" t="s">
        <v>22</v>
      </c>
      <c r="H11" s="4" t="s">
        <v>953</v>
      </c>
    </row>
    <row r="12" customFormat="false" ht="31.5" hidden="false" customHeight="true" outlineLevel="0" collapsed="false">
      <c r="B12" s="6" t="n">
        <v>8</v>
      </c>
      <c r="C12" s="6" t="s">
        <v>318</v>
      </c>
      <c r="D12" s="6" t="s">
        <v>319</v>
      </c>
      <c r="E12" s="6" t="s">
        <v>270</v>
      </c>
      <c r="F12" s="6" t="s">
        <v>18</v>
      </c>
      <c r="G12" s="6" t="s">
        <v>17</v>
      </c>
      <c r="H12" s="6" t="s">
        <v>954</v>
      </c>
    </row>
    <row r="13" customFormat="false" ht="31.5" hidden="false" customHeight="true" outlineLevel="0" collapsed="false">
      <c r="B13" s="4" t="n">
        <v>9</v>
      </c>
      <c r="C13" s="4" t="s">
        <v>663</v>
      </c>
      <c r="D13" s="4" t="s">
        <v>664</v>
      </c>
      <c r="E13" s="4" t="s">
        <v>636</v>
      </c>
      <c r="F13" s="4" t="s">
        <v>666</v>
      </c>
      <c r="G13" s="4" t="s">
        <v>22</v>
      </c>
      <c r="H13" s="4" t="s">
        <v>955</v>
      </c>
    </row>
    <row r="14" customFormat="false" ht="31.5" hidden="false" customHeight="true" outlineLevel="0" collapsed="false">
      <c r="B14" s="6" t="n">
        <v>10</v>
      </c>
      <c r="C14" s="6" t="s">
        <v>349</v>
      </c>
      <c r="D14" s="6" t="s">
        <v>350</v>
      </c>
      <c r="E14" s="6" t="s">
        <v>331</v>
      </c>
      <c r="F14" s="6" t="s">
        <v>18</v>
      </c>
      <c r="G14" s="6" t="s">
        <v>22</v>
      </c>
      <c r="H14" s="6" t="s">
        <v>956</v>
      </c>
    </row>
    <row r="16" customFormat="false" ht="15" hidden="false" customHeight="false" outlineLevel="0" collapsed="false">
      <c r="B16" s="10" t="s">
        <v>957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7" min="2" style="1" width="34"/>
  </cols>
  <sheetData>
    <row r="2" customFormat="false" ht="31.5" hidden="false" customHeight="true" outlineLevel="0" collapsed="false">
      <c r="B2" s="2" t="s">
        <v>958</v>
      </c>
      <c r="C2" s="2"/>
      <c r="D2" s="2"/>
      <c r="E2" s="2"/>
      <c r="F2" s="2"/>
      <c r="G2" s="2"/>
    </row>
    <row r="3" customFormat="false" ht="7.5" hidden="false" customHeight="true" outlineLevel="0" collapsed="false"/>
    <row r="4" customFormat="false" ht="27.75" hidden="false" customHeight="true" outlineLevel="0" collapsed="false">
      <c r="B4" s="3" t="s">
        <v>2</v>
      </c>
      <c r="C4" s="3" t="s">
        <v>959</v>
      </c>
      <c r="D4" s="3" t="s">
        <v>15</v>
      </c>
      <c r="E4" s="3" t="s">
        <v>30</v>
      </c>
      <c r="F4" s="3" t="s">
        <v>960</v>
      </c>
      <c r="G4" s="3" t="s">
        <v>961</v>
      </c>
    </row>
    <row r="5" customFormat="false" ht="21.75" hidden="false" customHeight="true" outlineLevel="0" collapsed="false">
      <c r="B5" s="11" t="s">
        <v>11</v>
      </c>
      <c r="C5" s="12" t="n">
        <f aca="false">COUNTIF('Use Case Catalog'!$C$5:$C$304,$B5)</f>
        <v>20</v>
      </c>
      <c r="D5" s="12" t="n">
        <f aca="false">COUNTIFS('Use Case Catalog'!$C$5:$C$304,$B5,'Use Case Catalog'!$G$5:$G$304,"External")</f>
        <v>9</v>
      </c>
      <c r="E5" s="12" t="n">
        <f aca="false">COUNTIFS('Use Case Catalog'!$C$5:$C$304,$B5,'Use Case Catalog'!$G$5:$G$304,"Internal")</f>
        <v>11</v>
      </c>
      <c r="F5" s="12" t="n">
        <f aca="false">COUNTIFS('Use Case Catalog'!$C$5:$C$304,$B5,'Use Case Catalog'!$H$5:$H$304,"High")</f>
        <v>14</v>
      </c>
      <c r="G5" s="12" t="n">
        <f aca="false">COUNTIFS('Use Case Catalog'!$C$5:$C$304,$B5,'Use Case Catalog'!$I$5:$I$304,"Easy")</f>
        <v>8</v>
      </c>
    </row>
    <row r="6" customFormat="false" ht="21.75" hidden="false" customHeight="true" outlineLevel="0" collapsed="false">
      <c r="B6" s="13" t="s">
        <v>85</v>
      </c>
      <c r="C6" s="14" t="n">
        <f aca="false">COUNTIF('Use Case Catalog'!$C$5:$C$304,$B6)</f>
        <v>20</v>
      </c>
      <c r="D6" s="14" t="n">
        <f aca="false">COUNTIFS('Use Case Catalog'!$C$5:$C$304,$B6,'Use Case Catalog'!$G$5:$G$304,"External")</f>
        <v>8</v>
      </c>
      <c r="E6" s="14" t="n">
        <f aca="false">COUNTIFS('Use Case Catalog'!$C$5:$C$304,$B6,'Use Case Catalog'!$G$5:$G$304,"Internal")</f>
        <v>12</v>
      </c>
      <c r="F6" s="14" t="n">
        <f aca="false">COUNTIFS('Use Case Catalog'!$C$5:$C$304,$B6,'Use Case Catalog'!$H$5:$H$304,"High")</f>
        <v>11</v>
      </c>
      <c r="G6" s="14" t="n">
        <f aca="false">COUNTIFS('Use Case Catalog'!$C$5:$C$304,$B6,'Use Case Catalog'!$I$5:$I$304,"Easy")</f>
        <v>5</v>
      </c>
    </row>
    <row r="7" customFormat="false" ht="21.75" hidden="false" customHeight="true" outlineLevel="0" collapsed="false">
      <c r="B7" s="11" t="s">
        <v>147</v>
      </c>
      <c r="C7" s="12" t="n">
        <f aca="false">COUNTIF('Use Case Catalog'!$C$5:$C$304,$B7)</f>
        <v>20</v>
      </c>
      <c r="D7" s="12" t="n">
        <f aca="false">COUNTIFS('Use Case Catalog'!$C$5:$C$304,$B7,'Use Case Catalog'!$G$5:$G$304,"External")</f>
        <v>1</v>
      </c>
      <c r="E7" s="12" t="n">
        <f aca="false">COUNTIFS('Use Case Catalog'!$C$5:$C$304,$B7,'Use Case Catalog'!$G$5:$G$304,"Internal")</f>
        <v>19</v>
      </c>
      <c r="F7" s="12" t="n">
        <f aca="false">COUNTIFS('Use Case Catalog'!$C$5:$C$304,$B7,'Use Case Catalog'!$H$5:$H$304,"High")</f>
        <v>10</v>
      </c>
      <c r="G7" s="12" t="n">
        <f aca="false">COUNTIFS('Use Case Catalog'!$C$5:$C$304,$B7,'Use Case Catalog'!$I$5:$I$304,"Easy")</f>
        <v>8</v>
      </c>
    </row>
    <row r="8" customFormat="false" ht="21.75" hidden="false" customHeight="true" outlineLevel="0" collapsed="false">
      <c r="B8" s="13" t="s">
        <v>208</v>
      </c>
      <c r="C8" s="14" t="n">
        <f aca="false">COUNTIF('Use Case Catalog'!$C$5:$C$304,$B8)</f>
        <v>20</v>
      </c>
      <c r="D8" s="14" t="n">
        <f aca="false">COUNTIFS('Use Case Catalog'!$C$5:$C$304,$B8,'Use Case Catalog'!$G$5:$G$304,"External")</f>
        <v>11</v>
      </c>
      <c r="E8" s="14" t="n">
        <f aca="false">COUNTIFS('Use Case Catalog'!$C$5:$C$304,$B8,'Use Case Catalog'!$G$5:$G$304,"Internal")</f>
        <v>9</v>
      </c>
      <c r="F8" s="14" t="n">
        <f aca="false">COUNTIFS('Use Case Catalog'!$C$5:$C$304,$B8,'Use Case Catalog'!$H$5:$H$304,"High")</f>
        <v>11</v>
      </c>
      <c r="G8" s="14" t="n">
        <f aca="false">COUNTIFS('Use Case Catalog'!$C$5:$C$304,$B8,'Use Case Catalog'!$I$5:$I$304,"Easy")</f>
        <v>10</v>
      </c>
    </row>
    <row r="9" customFormat="false" ht="21.75" hidden="false" customHeight="true" outlineLevel="0" collapsed="false">
      <c r="B9" s="11" t="s">
        <v>270</v>
      </c>
      <c r="C9" s="12" t="n">
        <f aca="false">COUNTIF('Use Case Catalog'!$C$5:$C$304,$B9)</f>
        <v>20</v>
      </c>
      <c r="D9" s="12" t="n">
        <f aca="false">COUNTIFS('Use Case Catalog'!$C$5:$C$304,$B9,'Use Case Catalog'!$G$5:$G$304,"External")</f>
        <v>13</v>
      </c>
      <c r="E9" s="12" t="n">
        <f aca="false">COUNTIFS('Use Case Catalog'!$C$5:$C$304,$B9,'Use Case Catalog'!$G$5:$G$304,"Internal")</f>
        <v>7</v>
      </c>
      <c r="F9" s="12" t="n">
        <f aca="false">COUNTIFS('Use Case Catalog'!$C$5:$C$304,$B9,'Use Case Catalog'!$H$5:$H$304,"High")</f>
        <v>13</v>
      </c>
      <c r="G9" s="12" t="n">
        <f aca="false">COUNTIFS('Use Case Catalog'!$C$5:$C$304,$B9,'Use Case Catalog'!$I$5:$I$304,"Easy")</f>
        <v>10</v>
      </c>
    </row>
    <row r="10" customFormat="false" ht="21.75" hidden="false" customHeight="true" outlineLevel="0" collapsed="false">
      <c r="B10" s="13" t="s">
        <v>331</v>
      </c>
      <c r="C10" s="14" t="n">
        <f aca="false">COUNTIF('Use Case Catalog'!$C$5:$C$304,$B10)</f>
        <v>20</v>
      </c>
      <c r="D10" s="14" t="n">
        <f aca="false">COUNTIFS('Use Case Catalog'!$C$5:$C$304,$B10,'Use Case Catalog'!$G$5:$G$304,"External")</f>
        <v>19</v>
      </c>
      <c r="E10" s="14" t="n">
        <f aca="false">COUNTIFS('Use Case Catalog'!$C$5:$C$304,$B10,'Use Case Catalog'!$G$5:$G$304,"Internal")</f>
        <v>1</v>
      </c>
      <c r="F10" s="14" t="n">
        <f aca="false">COUNTIFS('Use Case Catalog'!$C$5:$C$304,$B10,'Use Case Catalog'!$H$5:$H$304,"High")</f>
        <v>6</v>
      </c>
      <c r="G10" s="14" t="n">
        <f aca="false">COUNTIFS('Use Case Catalog'!$C$5:$C$304,$B10,'Use Case Catalog'!$I$5:$I$304,"Easy")</f>
        <v>17</v>
      </c>
    </row>
    <row r="11" customFormat="false" ht="21.75" hidden="false" customHeight="true" outlineLevel="0" collapsed="false">
      <c r="B11" s="11" t="s">
        <v>392</v>
      </c>
      <c r="C11" s="12" t="n">
        <f aca="false">COUNTIF('Use Case Catalog'!$C$5:$C$304,$B11)</f>
        <v>20</v>
      </c>
      <c r="D11" s="12" t="n">
        <f aca="false">COUNTIFS('Use Case Catalog'!$C$5:$C$304,$B11,'Use Case Catalog'!$G$5:$G$304,"External")</f>
        <v>20</v>
      </c>
      <c r="E11" s="12" t="n">
        <f aca="false">COUNTIFS('Use Case Catalog'!$C$5:$C$304,$B11,'Use Case Catalog'!$G$5:$G$304,"Internal")</f>
        <v>0</v>
      </c>
      <c r="F11" s="12" t="n">
        <f aca="false">COUNTIFS('Use Case Catalog'!$C$5:$C$304,$B11,'Use Case Catalog'!$H$5:$H$304,"High")</f>
        <v>7</v>
      </c>
      <c r="G11" s="12" t="n">
        <f aca="false">COUNTIFS('Use Case Catalog'!$C$5:$C$304,$B11,'Use Case Catalog'!$I$5:$I$304,"Easy")</f>
        <v>11</v>
      </c>
    </row>
    <row r="12" customFormat="false" ht="21.75" hidden="false" customHeight="true" outlineLevel="0" collapsed="false">
      <c r="B12" s="13" t="s">
        <v>453</v>
      </c>
      <c r="C12" s="14" t="n">
        <f aca="false">COUNTIF('Use Case Catalog'!$C$5:$C$304,$B12)</f>
        <v>20</v>
      </c>
      <c r="D12" s="14" t="n">
        <f aca="false">COUNTIFS('Use Case Catalog'!$C$5:$C$304,$B12,'Use Case Catalog'!$G$5:$G$304,"External")</f>
        <v>17</v>
      </c>
      <c r="E12" s="14" t="n">
        <f aca="false">COUNTIFS('Use Case Catalog'!$C$5:$C$304,$B12,'Use Case Catalog'!$G$5:$G$304,"Internal")</f>
        <v>3</v>
      </c>
      <c r="F12" s="14" t="n">
        <f aca="false">COUNTIFS('Use Case Catalog'!$C$5:$C$304,$B12,'Use Case Catalog'!$H$5:$H$304,"High")</f>
        <v>6</v>
      </c>
      <c r="G12" s="14" t="n">
        <f aca="false">COUNTIFS('Use Case Catalog'!$C$5:$C$304,$B12,'Use Case Catalog'!$I$5:$I$304,"Easy")</f>
        <v>14</v>
      </c>
    </row>
    <row r="13" customFormat="false" ht="21.75" hidden="false" customHeight="true" outlineLevel="0" collapsed="false">
      <c r="B13" s="11" t="s">
        <v>514</v>
      </c>
      <c r="C13" s="12" t="n">
        <f aca="false">COUNTIF('Use Case Catalog'!$C$5:$C$304,$B13)</f>
        <v>20</v>
      </c>
      <c r="D13" s="12" t="n">
        <f aca="false">COUNTIFS('Use Case Catalog'!$C$5:$C$304,$B13,'Use Case Catalog'!$G$5:$G$304,"External")</f>
        <v>4</v>
      </c>
      <c r="E13" s="12" t="n">
        <f aca="false">COUNTIFS('Use Case Catalog'!$C$5:$C$304,$B13,'Use Case Catalog'!$G$5:$G$304,"Internal")</f>
        <v>16</v>
      </c>
      <c r="F13" s="12" t="n">
        <f aca="false">COUNTIFS('Use Case Catalog'!$C$5:$C$304,$B13,'Use Case Catalog'!$H$5:$H$304,"High")</f>
        <v>11</v>
      </c>
      <c r="G13" s="12" t="n">
        <f aca="false">COUNTIFS('Use Case Catalog'!$C$5:$C$304,$B13,'Use Case Catalog'!$I$5:$I$304,"Easy")</f>
        <v>5</v>
      </c>
    </row>
    <row r="14" customFormat="false" ht="21.75" hidden="false" customHeight="true" outlineLevel="0" collapsed="false">
      <c r="B14" s="13" t="s">
        <v>575</v>
      </c>
      <c r="C14" s="14" t="n">
        <f aca="false">COUNTIF('Use Case Catalog'!$C$5:$C$304,$B14)</f>
        <v>20</v>
      </c>
      <c r="D14" s="14" t="n">
        <f aca="false">COUNTIFS('Use Case Catalog'!$C$5:$C$304,$B14,'Use Case Catalog'!$G$5:$G$304,"External")</f>
        <v>4</v>
      </c>
      <c r="E14" s="14" t="n">
        <f aca="false">COUNTIFS('Use Case Catalog'!$C$5:$C$304,$B14,'Use Case Catalog'!$G$5:$G$304,"Internal")</f>
        <v>16</v>
      </c>
      <c r="F14" s="14" t="n">
        <f aca="false">COUNTIFS('Use Case Catalog'!$C$5:$C$304,$B14,'Use Case Catalog'!$H$5:$H$304,"High")</f>
        <v>7</v>
      </c>
      <c r="G14" s="14" t="n">
        <f aca="false">COUNTIFS('Use Case Catalog'!$C$5:$C$304,$B14,'Use Case Catalog'!$I$5:$I$304,"Easy")</f>
        <v>11</v>
      </c>
    </row>
    <row r="15" customFormat="false" ht="21.75" hidden="false" customHeight="true" outlineLevel="0" collapsed="false">
      <c r="B15" s="11" t="s">
        <v>636</v>
      </c>
      <c r="C15" s="12" t="n">
        <f aca="false">COUNTIF('Use Case Catalog'!$C$5:$C$304,$B15)</f>
        <v>20</v>
      </c>
      <c r="D15" s="12" t="n">
        <f aca="false">COUNTIFS('Use Case Catalog'!$C$5:$C$304,$B15,'Use Case Catalog'!$G$5:$G$304,"External")</f>
        <v>12</v>
      </c>
      <c r="E15" s="12" t="n">
        <f aca="false">COUNTIFS('Use Case Catalog'!$C$5:$C$304,$B15,'Use Case Catalog'!$G$5:$G$304,"Internal")</f>
        <v>8</v>
      </c>
      <c r="F15" s="12" t="n">
        <f aca="false">COUNTIFS('Use Case Catalog'!$C$5:$C$304,$B15,'Use Case Catalog'!$H$5:$H$304,"High")</f>
        <v>12</v>
      </c>
      <c r="G15" s="12" t="n">
        <f aca="false">COUNTIFS('Use Case Catalog'!$C$5:$C$304,$B15,'Use Case Catalog'!$I$5:$I$304,"Easy")</f>
        <v>13</v>
      </c>
    </row>
    <row r="16" customFormat="false" ht="21.75" hidden="false" customHeight="true" outlineLevel="0" collapsed="false">
      <c r="B16" s="13" t="s">
        <v>698</v>
      </c>
      <c r="C16" s="14" t="n">
        <f aca="false">COUNTIF('Use Case Catalog'!$C$5:$C$304,$B16)</f>
        <v>20</v>
      </c>
      <c r="D16" s="14" t="n">
        <f aca="false">COUNTIFS('Use Case Catalog'!$C$5:$C$304,$B16,'Use Case Catalog'!$G$5:$G$304,"External")</f>
        <v>6</v>
      </c>
      <c r="E16" s="14" t="n">
        <f aca="false">COUNTIFS('Use Case Catalog'!$C$5:$C$304,$B16,'Use Case Catalog'!$G$5:$G$304,"Internal")</f>
        <v>14</v>
      </c>
      <c r="F16" s="14" t="n">
        <f aca="false">COUNTIFS('Use Case Catalog'!$C$5:$C$304,$B16,'Use Case Catalog'!$H$5:$H$304,"High")</f>
        <v>9</v>
      </c>
      <c r="G16" s="14" t="n">
        <f aca="false">COUNTIFS('Use Case Catalog'!$C$5:$C$304,$B16,'Use Case Catalog'!$I$5:$I$304,"Easy")</f>
        <v>10</v>
      </c>
    </row>
    <row r="17" customFormat="false" ht="21.75" hidden="false" customHeight="true" outlineLevel="0" collapsed="false">
      <c r="B17" s="11" t="s">
        <v>759</v>
      </c>
      <c r="C17" s="12" t="n">
        <f aca="false">COUNTIF('Use Case Catalog'!$C$5:$C$304,$B17)</f>
        <v>20</v>
      </c>
      <c r="D17" s="12" t="n">
        <f aca="false">COUNTIFS('Use Case Catalog'!$C$5:$C$304,$B17,'Use Case Catalog'!$G$5:$G$304,"External")</f>
        <v>8</v>
      </c>
      <c r="E17" s="12" t="n">
        <f aca="false">COUNTIFS('Use Case Catalog'!$C$5:$C$304,$B17,'Use Case Catalog'!$G$5:$G$304,"Internal")</f>
        <v>12</v>
      </c>
      <c r="F17" s="12" t="n">
        <f aca="false">COUNTIFS('Use Case Catalog'!$C$5:$C$304,$B17,'Use Case Catalog'!$H$5:$H$304,"High")</f>
        <v>9</v>
      </c>
      <c r="G17" s="12" t="n">
        <f aca="false">COUNTIFS('Use Case Catalog'!$C$5:$C$304,$B17,'Use Case Catalog'!$I$5:$I$304,"Easy")</f>
        <v>7</v>
      </c>
    </row>
    <row r="18" customFormat="false" ht="21.75" hidden="false" customHeight="true" outlineLevel="0" collapsed="false">
      <c r="B18" s="13" t="s">
        <v>820</v>
      </c>
      <c r="C18" s="14" t="n">
        <f aca="false">COUNTIF('Use Case Catalog'!$C$5:$C$304,$B18)</f>
        <v>20</v>
      </c>
      <c r="D18" s="14" t="n">
        <f aca="false">COUNTIFS('Use Case Catalog'!$C$5:$C$304,$B18,'Use Case Catalog'!$G$5:$G$304,"External")</f>
        <v>0</v>
      </c>
      <c r="E18" s="14" t="n">
        <f aca="false">COUNTIFS('Use Case Catalog'!$C$5:$C$304,$B18,'Use Case Catalog'!$G$5:$G$304,"Internal")</f>
        <v>20</v>
      </c>
      <c r="F18" s="14" t="n">
        <f aca="false">COUNTIFS('Use Case Catalog'!$C$5:$C$304,$B18,'Use Case Catalog'!$H$5:$H$304,"High")</f>
        <v>4</v>
      </c>
      <c r="G18" s="14" t="n">
        <f aca="false">COUNTIFS('Use Case Catalog'!$C$5:$C$304,$B18,'Use Case Catalog'!$I$5:$I$304,"Easy")</f>
        <v>18</v>
      </c>
    </row>
    <row r="19" customFormat="false" ht="21.75" hidden="false" customHeight="true" outlineLevel="0" collapsed="false">
      <c r="B19" s="11" t="s">
        <v>881</v>
      </c>
      <c r="C19" s="12" t="n">
        <f aca="false">COUNTIF('Use Case Catalog'!$C$5:$C$304,$B19)</f>
        <v>20</v>
      </c>
      <c r="D19" s="12" t="n">
        <f aca="false">COUNTIFS('Use Case Catalog'!$C$5:$C$304,$B19,'Use Case Catalog'!$G$5:$G$304,"External")</f>
        <v>3</v>
      </c>
      <c r="E19" s="12" t="n">
        <f aca="false">COUNTIFS('Use Case Catalog'!$C$5:$C$304,$B19,'Use Case Catalog'!$G$5:$G$304,"Internal")</f>
        <v>17</v>
      </c>
      <c r="F19" s="12" t="n">
        <f aca="false">COUNTIFS('Use Case Catalog'!$C$5:$C$304,$B19,'Use Case Catalog'!$H$5:$H$304,"High")</f>
        <v>8</v>
      </c>
      <c r="G19" s="12" t="n">
        <f aca="false">COUNTIFS('Use Case Catalog'!$C$5:$C$304,$B19,'Use Case Catalog'!$I$5:$I$304,"Easy")</f>
        <v>10</v>
      </c>
    </row>
    <row r="20" customFormat="false" ht="25.5" hidden="false" customHeight="true" outlineLevel="0" collapsed="false">
      <c r="B20" s="15" t="s">
        <v>959</v>
      </c>
      <c r="C20" s="16" t="n">
        <f aca="false">SUM(C5:C19)</f>
        <v>300</v>
      </c>
      <c r="D20" s="16" t="n">
        <f aca="false">SUM(D5:D19)</f>
        <v>135</v>
      </c>
      <c r="E20" s="16" t="n">
        <f aca="false">SUM(E5:E19)</f>
        <v>165</v>
      </c>
      <c r="F20" s="16" t="n">
        <f aca="false">SUM(F5:F19)</f>
        <v>138</v>
      </c>
      <c r="G20" s="16" t="n">
        <f aca="false">SUM(G5:G19)</f>
        <v>157</v>
      </c>
    </row>
    <row r="22" customFormat="false" ht="15" hidden="false" customHeight="false" outlineLevel="0" collapsed="false">
      <c r="B22" s="10" t="s">
        <v>962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2026-10-24T09:15:10Z</dcterms:created>
  <dc:creator>Z.ai</dc:creator>
  <dc:description/>
  <dc:language>en-US</dc:language>
  <cp:lastModifiedBy/>
  <dcterms:modified xsi:type="dcterms:W3CDTF">2026-10-24T09:15:11Z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